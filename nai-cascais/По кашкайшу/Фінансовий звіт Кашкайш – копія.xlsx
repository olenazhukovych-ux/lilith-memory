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" sheetId="1" r:id="rId5"/>
    <sheet state="hidden" name="Звіт по зп" sheetId="2" r:id="rId6"/>
    <sheet state="hidden" name="Продажі червень" sheetId="3" r:id="rId7"/>
    <sheet state="hidden" name="Погодинний виторг червень ісход" sheetId="4" r:id="rId8"/>
    <sheet state="hidden" name="Погодинний виторг червень" sheetId="5" r:id="rId9"/>
    <sheet state="hidden" name="Аналіз конкурентів" sheetId="6" r:id="rId10"/>
  </sheets>
  <definedNames>
    <definedName hidden="1" localSheetId="2" name="_xlnm._FilterDatabase">'Продажі червень'!$A$18:$L$215</definedName>
  </definedNames>
  <calcPr/>
</workbook>
</file>

<file path=xl/sharedStrings.xml><?xml version="1.0" encoding="utf-8"?>
<sst xmlns="http://schemas.openxmlformats.org/spreadsheetml/2006/main" count="1008" uniqueCount="513">
  <si>
    <t>План (приклад)</t>
  </si>
  <si>
    <t>Факт</t>
  </si>
  <si>
    <t>Стаття</t>
  </si>
  <si>
    <t>Показник</t>
  </si>
  <si>
    <t>%</t>
  </si>
  <si>
    <t>листопад</t>
  </si>
  <si>
    <t>грудень</t>
  </si>
  <si>
    <t>січень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</si>
  <si>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</si>
  <si>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</si>
  <si>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</si>
  <si>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</si>
  <si>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</si>
  <si>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</si>
  <si>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</si>
  <si>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</si>
  <si>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</si>
  <si>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</si>
  <si>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Валові продажі (gross sales)</t>
  </si>
  <si>
    <t>ПДВ+акциз</t>
  </si>
  <si>
    <t>Чисті продажі (net sales)</t>
  </si>
  <si>
    <t>Закупки + списання (продукти та напої)</t>
  </si>
  <si>
    <t>Валовий прибуток</t>
  </si>
  <si>
    <t>Labor cost (з податками)</t>
  </si>
  <si>
    <t>Оренда приміщення (без ПДВ)</t>
  </si>
  <si>
    <t>Комунальні платежі (без ПДВ)</t>
  </si>
  <si>
    <t>Маркетинг</t>
  </si>
  <si>
    <t>Роялті</t>
  </si>
  <si>
    <t>Інші операційні витрати</t>
  </si>
  <si>
    <t>Всього операційні витрати</t>
  </si>
  <si>
    <t>Всього операційний прибуток</t>
  </si>
  <si>
    <t>Податок на прибуток</t>
  </si>
  <si>
    <t>Чистий прибуток</t>
  </si>
  <si>
    <t>Амортизація та ОЗ</t>
  </si>
  <si>
    <t>Повернення інвестиці</t>
  </si>
  <si>
    <t>Зведений звіт про зарплату</t>
  </si>
  <si>
    <t>За період: з 01.05.2024 по 31.05.2024</t>
  </si>
  <si>
    <t>Співробітник</t>
  </si>
  <si>
    <t>Табельний номер</t>
  </si>
  <si>
    <t>Залишок на початок</t>
  </si>
  <si>
    <t>Оклад</t>
  </si>
  <si>
    <t>Аванс</t>
  </si>
  <si>
    <t>Відпрацьовано годин</t>
  </si>
  <si>
    <t>Почас. оплата</t>
  </si>
  <si>
    <t>Продажі (страви)</t>
  </si>
  <si>
    <t>Продажі (замовлення)</t>
  </si>
  <si>
    <t>Бонуси</t>
  </si>
  <si>
    <t>Аванси</t>
  </si>
  <si>
    <t>Нестача:</t>
  </si>
  <si>
    <t>Утримання</t>
  </si>
  <si>
    <t>Пр. нарахування</t>
  </si>
  <si>
    <t>Їжа/Незакр.ст</t>
  </si>
  <si>
    <t>Інші розрахунки</t>
  </si>
  <si>
    <t>Разом</t>
  </si>
  <si>
    <t>Видані аванси</t>
  </si>
  <si>
    <t>Загальні виплати</t>
  </si>
  <si>
    <t>До видачі</t>
  </si>
  <si>
    <t>Залишок на кінець</t>
  </si>
  <si>
    <t>Barman</t>
  </si>
  <si>
    <t>KuksaD</t>
  </si>
  <si>
    <t>4 794,00</t>
  </si>
  <si>
    <t>6 077,10</t>
  </si>
  <si>
    <t>LabzovT</t>
  </si>
  <si>
    <t>5 428,50</t>
  </si>
  <si>
    <t>Kelner</t>
  </si>
  <si>
    <t>KovaliukV</t>
  </si>
  <si>
    <t>4 420,00</t>
  </si>
  <si>
    <t>MarianchukI</t>
  </si>
  <si>
    <t>4 709,00</t>
  </si>
  <si>
    <t>82 414,37</t>
  </si>
  <si>
    <t>78 811,47</t>
  </si>
  <si>
    <t>4 594,52</t>
  </si>
  <si>
    <t>4 121,21</t>
  </si>
  <si>
    <t>SvyshchN</t>
  </si>
  <si>
    <t>54 409,25</t>
  </si>
  <si>
    <t>52 667,15</t>
  </si>
  <si>
    <t>3 573,77</t>
  </si>
  <si>
    <t>3 573,30</t>
  </si>
  <si>
    <t>TsyhankovaD</t>
  </si>
  <si>
    <t>107 146,22</t>
  </si>
  <si>
    <t>121 614,65</t>
  </si>
  <si>
    <t>5 780,55</t>
  </si>
  <si>
    <t>5 775,45</t>
  </si>
  <si>
    <t>VoronaY</t>
  </si>
  <si>
    <t>23 256,00</t>
  </si>
  <si>
    <t>243 969,84</t>
  </si>
  <si>
    <t>253 093,27</t>
  </si>
  <si>
    <t>14 572,09</t>
  </si>
  <si>
    <t>14 093,21</t>
  </si>
  <si>
    <t>Kierownik Restauracji</t>
  </si>
  <si>
    <t>MekhtiievM</t>
  </si>
  <si>
    <t>5 950,00</t>
  </si>
  <si>
    <t>10 377,50</t>
  </si>
  <si>
    <t>Kucharz działu zaopatrzenia</t>
  </si>
  <si>
    <t>LiubovP</t>
  </si>
  <si>
    <t>4 590,00</t>
  </si>
  <si>
    <t>5 649,75</t>
  </si>
  <si>
    <t>5 071,32</t>
  </si>
  <si>
    <t>PyrohovYe</t>
  </si>
  <si>
    <t>3 747,75</t>
  </si>
  <si>
    <t>1 557,55</t>
  </si>
  <si>
    <t>5 305,30</t>
  </si>
  <si>
    <t>7 207,30</t>
  </si>
  <si>
    <t>6 628,87</t>
  </si>
  <si>
    <t>Kucharz kuchni ciepłej - Rotisseur</t>
  </si>
  <si>
    <t>KovalD</t>
  </si>
  <si>
    <t>4 930,00</t>
  </si>
  <si>
    <t>7 293,03</t>
  </si>
  <si>
    <t>7 227,00</t>
  </si>
  <si>
    <t>-3 747,75</t>
  </si>
  <si>
    <t>4 964,00</t>
  </si>
  <si>
    <t>5 154,29</t>
  </si>
  <si>
    <t>5 070,85</t>
  </si>
  <si>
    <t>6 628,40</t>
  </si>
  <si>
    <t>-1 557,55</t>
  </si>
  <si>
    <t>-5 305,30</t>
  </si>
  <si>
    <t>TomchukD</t>
  </si>
  <si>
    <t>6 243,95</t>
  </si>
  <si>
    <t>-1 538,80</t>
  </si>
  <si>
    <t>4 705,15</t>
  </si>
  <si>
    <t>14 858,00</t>
  </si>
  <si>
    <t>18 691,27</t>
  </si>
  <si>
    <t>-1 688,27</t>
  </si>
  <si>
    <t>17 003,00</t>
  </si>
  <si>
    <t>18 560,55</t>
  </si>
  <si>
    <t>Kucharz Kuchni Zimnej - Garde-manger</t>
  </si>
  <si>
    <t>BibikU</t>
  </si>
  <si>
    <t>4 845,00</t>
  </si>
  <si>
    <t>5 142,40</t>
  </si>
  <si>
    <t>4 773,75</t>
  </si>
  <si>
    <t>StarenkaK</t>
  </si>
  <si>
    <t>5 900,52</t>
  </si>
  <si>
    <t>5 529,00</t>
  </si>
  <si>
    <t>9 690,00</t>
  </si>
  <si>
    <t>11 042,92</t>
  </si>
  <si>
    <t>10 302,75</t>
  </si>
  <si>
    <t>Menadżer Restauracji</t>
  </si>
  <si>
    <t>NikitinaY</t>
  </si>
  <si>
    <t>5 100,00</t>
  </si>
  <si>
    <t>17 757,53</t>
  </si>
  <si>
    <t>11 362,33</t>
  </si>
  <si>
    <t>5 355,00</t>
  </si>
  <si>
    <t>ShnyrenkoM</t>
  </si>
  <si>
    <t>16 238,60</t>
  </si>
  <si>
    <t>13 581,42</t>
  </si>
  <si>
    <t>6 634,00</t>
  </si>
  <si>
    <t>6 630,00</t>
  </si>
  <si>
    <t>10 200,00</t>
  </si>
  <si>
    <t>33 996,13</t>
  </si>
  <si>
    <t>24 943,75</t>
  </si>
  <si>
    <t>11 989,00</t>
  </si>
  <si>
    <t>11 985,00</t>
  </si>
  <si>
    <t>Sous Chef</t>
  </si>
  <si>
    <t>ProkhorchukP</t>
  </si>
  <si>
    <t>5 270,00</t>
  </si>
  <si>
    <t>4 940,89</t>
  </si>
  <si>
    <t>4 527,72</t>
  </si>
  <si>
    <t>Sprzątacz sali restauracyjnej</t>
  </si>
  <si>
    <t>YatsyshynL</t>
  </si>
  <si>
    <t>3 813,36</t>
  </si>
  <si>
    <t>3 310,15</t>
  </si>
  <si>
    <t>Starszy barman</t>
  </si>
  <si>
    <t>-5 428,50</t>
  </si>
  <si>
    <t>6 975,00</t>
  </si>
  <si>
    <t>Szef Kuchni</t>
  </si>
  <si>
    <t>BabaievV</t>
  </si>
  <si>
    <t>7 991,06</t>
  </si>
  <si>
    <t>-1 051,06</t>
  </si>
  <si>
    <t>6 940,00</t>
  </si>
  <si>
    <t>Zmywacz naczyń i sprzątacz kuchenny</t>
  </si>
  <si>
    <t>BahmutS</t>
  </si>
  <si>
    <t>8 746,85</t>
  </si>
  <si>
    <t>8 660,39</t>
  </si>
  <si>
    <t>KurochkinI</t>
  </si>
  <si>
    <t>5 739,50</t>
  </si>
  <si>
    <t>8 840,00</t>
  </si>
  <si>
    <t>14 486,35</t>
  </si>
  <si>
    <t>14 399,89</t>
  </si>
  <si>
    <t>Системний адміністратор</t>
  </si>
  <si>
    <t>LysenkoA</t>
  </si>
  <si>
    <t>103 377,00</t>
  </si>
  <si>
    <t>278 255,02</t>
  </si>
  <si>
    <t>118 163,84</t>
  </si>
  <si>
    <t>-5 543,65</t>
  </si>
  <si>
    <t>112 620,19</t>
  </si>
  <si>
    <t>Загальні продажі</t>
  </si>
  <si>
    <t>Продажі бар</t>
  </si>
  <si>
    <t>Кухня всього</t>
  </si>
  <si>
    <t>Вино</t>
  </si>
  <si>
    <t>Кухня (без сніданків)</t>
  </si>
  <si>
    <t>Вино розлив</t>
  </si>
  <si>
    <t>Сніданки окремо</t>
  </si>
  <si>
    <t>Міцний алкоголь</t>
  </si>
  <si>
    <t>Бар всього</t>
  </si>
  <si>
    <t>Коктейлі</t>
  </si>
  <si>
    <t>Бар ба</t>
  </si>
  <si>
    <t>Пиво</t>
  </si>
  <si>
    <t>Алкоголь 4,5-18%</t>
  </si>
  <si>
    <t>Б/а напої</t>
  </si>
  <si>
    <t>Алкоголь вище 18%</t>
  </si>
  <si>
    <t>Кава і чай</t>
  </si>
  <si>
    <t>Алкголь до 4,5%</t>
  </si>
  <si>
    <t>Алкоголь (Clover Club vol.3.0
Ron Dark Calados)</t>
  </si>
  <si>
    <t>Услуга гастрономічна (доставки чи ще щось)</t>
  </si>
  <si>
    <t>Звіт про продажі з 01.06.2024по 30.06.2024</t>
  </si>
  <si>
    <t>Підкатегорія</t>
  </si>
  <si>
    <t>Категорія</t>
  </si>
  <si>
    <t>Елемент номенклатури</t>
  </si>
  <si>
    <t>Середня ціна без вирахування знижок, zl.</t>
  </si>
  <si>
    <t>Середня ціна, zl.</t>
  </si>
  <si>
    <t>Кількість</t>
  </si>
  <si>
    <t>Виторг без вирахування знижок, zl.</t>
  </si>
  <si>
    <t>Виторг, zl.</t>
  </si>
  <si>
    <t>Валовий прибуток, zl.</t>
  </si>
  <si>
    <t>Націнка, %</t>
  </si>
  <si>
    <t>Валовий прибуток без ПДВ, zl.</t>
  </si>
  <si>
    <t>% від виторгу</t>
  </si>
  <si>
    <t>Коктейль</t>
  </si>
  <si>
    <t>Alkohol</t>
  </si>
  <si>
    <t>Clover Club vol.3.0</t>
  </si>
  <si>
    <t>Ron Dark Calados</t>
  </si>
  <si>
    <t>Alkohol do 4,5%</t>
  </si>
  <si>
    <t>WRCLW Lager 500ml</t>
  </si>
  <si>
    <t>WRCLW Pszeniczny 500ml</t>
  </si>
  <si>
    <t>WRCLW Bezalkoholowy 500ml</t>
  </si>
  <si>
    <t>American Ipa Browar Stu Mostów 500 ml</t>
  </si>
  <si>
    <t>Chocolate stout Stu Mostow 500 ml</t>
  </si>
  <si>
    <t>Alkohol od 4,5% do 18%</t>
  </si>
  <si>
    <t>Aperol Spritz 200 ml</t>
  </si>
  <si>
    <t>Marlborough sun sauvignon blanc 125ml.</t>
  </si>
  <si>
    <t>Ca`Val extra Dry Prosecco Treviso 125ml</t>
  </si>
  <si>
    <t>Chateau ste Michelle Riesling Ava Columbia Valley 125ml</t>
  </si>
  <si>
    <t>b_Ca`Val extra Dry Prosecco Treviso 750ml</t>
  </si>
  <si>
    <t>Richlad Black Shiraz Riverina 125ml</t>
  </si>
  <si>
    <t>Borgo Savaian Aransat Vino Bianco D`italia 125ml</t>
  </si>
  <si>
    <t>PS_Baron De Ley Blanco 125ml</t>
  </si>
  <si>
    <t>Cava Stars Brut Nature 125ML</t>
  </si>
  <si>
    <t>Venta la Ossa 2021/ 125ml</t>
  </si>
  <si>
    <t>b_Marlborough sun sauvignon blanc 750ml</t>
  </si>
  <si>
    <t>PS_Castelli del duca Obello</t>
  </si>
  <si>
    <t>b_Torre De Lapela  750ml</t>
  </si>
  <si>
    <t>b_Cava Stars Brut Nature VIP 750 ml</t>
  </si>
  <si>
    <t>b_Chateau ste Michelle Riesling Ava Columbia Valley 750ml</t>
  </si>
  <si>
    <t>b_La Linda Malbec - 750 ml</t>
  </si>
  <si>
    <t>Villa Bellucci Free 125ml</t>
  </si>
  <si>
    <t>Saint-t Rose AOC Cotes de Provence 125ml</t>
  </si>
  <si>
    <t>b_PS_Baron De Ley Blanco Semi Dulce Doca Rioja 20220,75l</t>
  </si>
  <si>
    <t>b_PS_Castelli del duca Obello Bonarda Semi sweet DOC Colli 20220,75l</t>
  </si>
  <si>
    <t>b_Borgo Savaian Aransat Vino Bianco D`italia 750ml</t>
  </si>
  <si>
    <t>b_Richlad Black Shiraz Riverina 750ml</t>
  </si>
  <si>
    <t>Peter&amp;Peter rose 125ml</t>
  </si>
  <si>
    <t>Oremus Tokaji Szamorodni Sweet 201880ml</t>
  </si>
  <si>
    <t>Graham`s 10 yo Tawny Port Porto 80ml</t>
  </si>
  <si>
    <t>Lustau Pedro Ximenez San Emilio Sherry 17% 50 ml</t>
  </si>
  <si>
    <t>b_Venta la Ossa 2021/ 750ml</t>
  </si>
  <si>
    <t>Prosecco cocktail 100 ml</t>
  </si>
  <si>
    <t>b_Domaine Ferve AOC Chablis 750ml</t>
  </si>
  <si>
    <t>b_Vina Ardanza Reserva 750ml</t>
  </si>
  <si>
    <t>b_Peter&amp;Peter rose 750 ml</t>
  </si>
  <si>
    <t>b_Saint-t Rose AOC Cotes de Provence 750ml</t>
  </si>
  <si>
    <t>b_Gosset Grand Reserve Brut AOC Champange 750ml</t>
  </si>
  <si>
    <t>b_Estoras Esterhazy 750ml</t>
  </si>
  <si>
    <t>Alkohol powyzej 18%</t>
  </si>
  <si>
    <t>Pornstar Martini 220 ml</t>
  </si>
  <si>
    <t>Hugo 220 ml</t>
  </si>
  <si>
    <t>Whiskey Sour 130 ml</t>
  </si>
  <si>
    <t>Горілка</t>
  </si>
  <si>
    <t>Distil No 950 ml</t>
  </si>
  <si>
    <t>Negroni 130 ml</t>
  </si>
  <si>
    <t>Pisco sour 135ml</t>
  </si>
  <si>
    <t>UKRANIAN SPIRIT 50 ML</t>
  </si>
  <si>
    <t>Tito"s Handmade Vodka 40% 50 ml</t>
  </si>
  <si>
    <t>The Empress 160 ml</t>
  </si>
  <si>
    <t>Ром</t>
  </si>
  <si>
    <t>El Ron Prohibido Habanero 15-letni 50 ml</t>
  </si>
  <si>
    <t>Коньяк</t>
  </si>
  <si>
    <t>Gautier VS / 40%/ 50 ml</t>
  </si>
  <si>
    <t>Gin&amp;Tonic</t>
  </si>
  <si>
    <t>Лікер</t>
  </si>
  <si>
    <t>Joseph Cartron Apricot Liker Morelowy 30ml</t>
  </si>
  <si>
    <t>Distil No 9500 ml</t>
  </si>
  <si>
    <t>"NAI"Nalewka (Summer edition) 50 ml</t>
  </si>
  <si>
    <t>Біттер</t>
  </si>
  <si>
    <t>Jagermeister 50 ml</t>
  </si>
  <si>
    <t>Віскі</t>
  </si>
  <si>
    <t>Maker`s Mark 50ml</t>
  </si>
  <si>
    <t>Кальвадос</t>
  </si>
  <si>
    <t>Calvados Pere Magloire VSOP Pays D`auge 50ml</t>
  </si>
  <si>
    <t>Gin Garden 150 ml</t>
  </si>
  <si>
    <t>Lemoncello liqueur 32% 50 ml</t>
  </si>
  <si>
    <t>Джин</t>
  </si>
  <si>
    <t>Bombay 50 ml</t>
  </si>
  <si>
    <t>Prospector 115ml</t>
  </si>
  <si>
    <t>Becherovka 50ml</t>
  </si>
  <si>
    <t>Diplomatico Reserva Exclusiva 50ml</t>
  </si>
  <si>
    <t>Кава</t>
  </si>
  <si>
    <t>B/A</t>
  </si>
  <si>
    <t>Cappuccino 160ml</t>
  </si>
  <si>
    <t>Americano 150ml</t>
  </si>
  <si>
    <t>Lemoniada z marakują ta cynamonem 300 ml.</t>
  </si>
  <si>
    <t>Лимонад</t>
  </si>
  <si>
    <t>Malinowa lemoniada</t>
  </si>
  <si>
    <t>Lemoniada cytrusowa 300 ml.</t>
  </si>
  <si>
    <t>Latte 180ml</t>
  </si>
  <si>
    <t>Flat white 180ml</t>
  </si>
  <si>
    <t>Сік</t>
  </si>
  <si>
    <t>Pomarańczowy wyciskany sok 300 ml..</t>
  </si>
  <si>
    <t>Lavander lemoniada</t>
  </si>
  <si>
    <t>Чай</t>
  </si>
  <si>
    <t>Herbata Rokitnikowa 600 ml</t>
  </si>
  <si>
    <t>Mleko owsiane</t>
  </si>
  <si>
    <t>Dopio 60ml</t>
  </si>
  <si>
    <t>Esspreso-tonic</t>
  </si>
  <si>
    <t>Espresso 30ml.</t>
  </si>
  <si>
    <t>Ice Latte</t>
  </si>
  <si>
    <t>б/а</t>
  </si>
  <si>
    <t>Fritz Cola 330 ml.</t>
  </si>
  <si>
    <t>Mleko bez laktozy</t>
  </si>
  <si>
    <t>Herbata Jaśminowa 400 ml</t>
  </si>
  <si>
    <t>Mleko migdałowe</t>
  </si>
  <si>
    <t>Вода</t>
  </si>
  <si>
    <t>Gazowana woda mineralna S.Pellegrino 750 ml</t>
  </si>
  <si>
    <t>Espresso Orange</t>
  </si>
  <si>
    <t>Sok jabłkowy 250 ml.</t>
  </si>
  <si>
    <t>Herbata Angielskie śniadanie 400 ml</t>
  </si>
  <si>
    <t>Ogórkowa lemoniada</t>
  </si>
  <si>
    <t>Grejpfrutowy wyciskany sok 300 ml.</t>
  </si>
  <si>
    <t>Herbata Imbirowa 600 ml</t>
  </si>
  <si>
    <t>Mleko 50 ML.</t>
  </si>
  <si>
    <t>Matcha Latte 180 ml</t>
  </si>
  <si>
    <t>Niegazowana woda mineralna Aqua Panna 750 ml</t>
  </si>
  <si>
    <t>Lemoniada marakuja 1L.</t>
  </si>
  <si>
    <t>Jabłkowy wyciskany sok 300 ml.</t>
  </si>
  <si>
    <t>Marchewkowy wyciskany sok 300 ml.</t>
  </si>
  <si>
    <t>Kakao Dla Dzieci 180ml</t>
  </si>
  <si>
    <t>Herbata Black Earl Grey 400 ml</t>
  </si>
  <si>
    <t>Matcha Orange</t>
  </si>
  <si>
    <t>Ananasowy wyciskany sok 300 ml.</t>
  </si>
  <si>
    <t>Herbata Lovely Morning 400ml</t>
  </si>
  <si>
    <t>mleko</t>
  </si>
  <si>
    <t>Lemoniada cytrusowa 1L.</t>
  </si>
  <si>
    <t>Aperol Spritz ((Free)) 200 ml</t>
  </si>
  <si>
    <t>Sok pomidorowy 250 ml.</t>
  </si>
  <si>
    <t>Lemoniada malinowa 1L</t>
  </si>
  <si>
    <t>Matca tonic</t>
  </si>
  <si>
    <t>Sour mix</t>
  </si>
  <si>
    <t>Ice Matcha</t>
  </si>
  <si>
    <t>Seler wyciskany sok 300 ml.</t>
  </si>
  <si>
    <t>Sok wiśnia 250 ml.</t>
  </si>
  <si>
    <t>Herbata Detox 400ml</t>
  </si>
  <si>
    <t>Tonic Henry</t>
  </si>
  <si>
    <t>Karamel do kawy</t>
  </si>
  <si>
    <t>Przelew</t>
  </si>
  <si>
    <t>Sok jabłkowy 1L.</t>
  </si>
  <si>
    <t>Kuchnia</t>
  </si>
  <si>
    <t>Ukraiński barszcz z boczkiem.</t>
  </si>
  <si>
    <t>Kotlet po kijowsku.</t>
  </si>
  <si>
    <t>Kotlet z kurczaka z puree ziemniaczanym i grzybami.</t>
  </si>
  <si>
    <t>Napaleon bialy czekolad.</t>
  </si>
  <si>
    <t>Pierogi z mięsem</t>
  </si>
  <si>
    <t>Serniczki.</t>
  </si>
  <si>
    <t>Filet Mignon</t>
  </si>
  <si>
    <t>Ciasto miodowe.</t>
  </si>
  <si>
    <t>Raw sernik mango i mus porzeczkowy</t>
  </si>
  <si>
    <t>Rosół z kurczaka i naleśniki z mięsem.</t>
  </si>
  <si>
    <t>Chłodnik</t>
  </si>
  <si>
    <t>Salatka z pieczonym batatem i kozim serem</t>
  </si>
  <si>
    <t>Sałatka z krewetkami, grzankami żytnimi i suszonymi pomidorami</t>
  </si>
  <si>
    <t>Łosoś z puree ziemniaczanym</t>
  </si>
  <si>
    <t>Banosz z domowym serem</t>
  </si>
  <si>
    <t>Dorada z żoltymi tomatami</t>
  </si>
  <si>
    <t>Tatar wołowy z fermentowanym czarnym bzem.</t>
  </si>
  <si>
    <t>Szparagi z sosem beszamel</t>
  </si>
  <si>
    <t>Gołąbki z krewetkami.</t>
  </si>
  <si>
    <t>Chleb.</t>
  </si>
  <si>
    <t>V-Filet Kaczki</t>
  </si>
  <si>
    <t>Losos s/s</t>
  </si>
  <si>
    <t>baby kotlet z kurczaka z pure</t>
  </si>
  <si>
    <t>Udko z kaczki z puree i kurkami</t>
  </si>
  <si>
    <t>Puree ziemniaczane mod</t>
  </si>
  <si>
    <t>Carpaccio z cielęciny</t>
  </si>
  <si>
    <t>Ostrygi</t>
  </si>
  <si>
    <t>Slonina.</t>
  </si>
  <si>
    <t>Domowy makaron z kurkami</t>
  </si>
  <si>
    <t>Burrata z pieczoną papryką</t>
  </si>
  <si>
    <t>Pierogi wisniowe z ricottą i kremem karmelowym</t>
  </si>
  <si>
    <t>Sałatka z kaczką, grzankami żytnimi i suszonymi pomidorami</t>
  </si>
  <si>
    <t>baby Pierogi z miesem</t>
  </si>
  <si>
    <t>Puree ziemniaczane 200g</t>
  </si>
  <si>
    <t>Różowe carpaccio z dorado</t>
  </si>
  <si>
    <t>Chleb w koszyku</t>
  </si>
  <si>
    <t>Avocado 0,5szt</t>
  </si>
  <si>
    <t>Maslo</t>
  </si>
  <si>
    <t>Jajka</t>
  </si>
  <si>
    <t>Jamon de Ballota 30 g</t>
  </si>
  <si>
    <t>Tatar z łososia</t>
  </si>
  <si>
    <t>Oliwka Fantasia Piccanti 50 g</t>
  </si>
  <si>
    <t>Oliwka czarna 50 g</t>
  </si>
  <si>
    <t>Jamon Duroc 50 g</t>
  </si>
  <si>
    <t>Talerz Serowy</t>
  </si>
  <si>
    <t>Talerz Mięsny</t>
  </si>
  <si>
    <t>Słonina poł</t>
  </si>
  <si>
    <t>Puree z zielonego groszku</t>
  </si>
  <si>
    <t>Papryka faszerowana</t>
  </si>
  <si>
    <t>Risotto z przegrzebkiem i sparagami</t>
  </si>
  <si>
    <t>Lekka zielona sałatka z mango i awokado oraz dressingiem yuzu</t>
  </si>
  <si>
    <t>Lody o smaku solonego karmelu</t>
  </si>
  <si>
    <t>Śmietana</t>
  </si>
  <si>
    <t>Ośmiornica z sosem pomidorowym i grzankami</t>
  </si>
  <si>
    <t>Lody pistacjowe</t>
  </si>
  <si>
    <t>Talerz owoców</t>
  </si>
  <si>
    <t>Puree Batat mod</t>
  </si>
  <si>
    <t>Musztarda</t>
  </si>
  <si>
    <t>Brokul Baby</t>
  </si>
  <si>
    <t>Miód 30ml</t>
  </si>
  <si>
    <t>Salatka typu grecka</t>
  </si>
  <si>
    <t>baby Krem zupa z topinamburu</t>
  </si>
  <si>
    <t>Kuchnia/Sniadania</t>
  </si>
  <si>
    <t>Duzy tost z awokado i lososem</t>
  </si>
  <si>
    <t>Serniczki sniadania</t>
  </si>
  <si>
    <t>Jajka sadzone z 3jaj z sałatką i grzankami</t>
  </si>
  <si>
    <t>Duzy tost z awokado i jajecznicą truflową</t>
  </si>
  <si>
    <t>Jajki w koszule na brioche pod sosem z lososem ta sałatką</t>
  </si>
  <si>
    <t>Słodkie leniwe knedle z jagodami</t>
  </si>
  <si>
    <t>Truflowa polenta z jajkem w koszule</t>
  </si>
  <si>
    <t>Szparagi z sosem holenderskim</t>
  </si>
  <si>
    <t>Placki z cukinii z lososiem</t>
  </si>
  <si>
    <t>Platki owsiane na mlieku kokosowym z jagodami</t>
  </si>
  <si>
    <t>Wegańskie śniadanie</t>
  </si>
  <si>
    <t>Wegańska salatka</t>
  </si>
  <si>
    <t>Staff</t>
  </si>
  <si>
    <t>Kawa Pracownicza 180ml</t>
  </si>
  <si>
    <t>Kawa Pracownicza z mlekiem 180ml</t>
  </si>
  <si>
    <t>Usluga gastronomiczna</t>
  </si>
  <si>
    <t>Usluga gastronomiczna (serwis)</t>
  </si>
  <si>
    <t>Usluga gastronomiczna (warsztat).</t>
  </si>
  <si>
    <t>Usluga gastronomiczna (voucher).</t>
  </si>
  <si>
    <t>Разом:</t>
  </si>
  <si>
    <t>Погодинний виторг</t>
  </si>
  <si>
    <t>Назва ресторану: NAI WROCŁAW</t>
  </si>
  <si>
    <t>Період: з 01.06.2024 по 30.06.2024</t>
  </si>
  <si>
    <t>Загальний підсумок</t>
  </si>
  <si>
    <t>Обліковий день</t>
  </si>
  <si>
    <t>Година закриття</t>
  </si>
  <si>
    <t>Кількість гостей</t>
  </si>
  <si>
    <t>Сума без знижки, zl.</t>
  </si>
  <si>
    <t>Сума зі знижкою, zl.</t>
  </si>
  <si>
    <t>Чеків</t>
  </si>
  <si>
    <t>СБ</t>
  </si>
  <si>
    <t>01.06.2024 Total</t>
  </si>
  <si>
    <t>НД</t>
  </si>
  <si>
    <t>02.06.2024 Total</t>
  </si>
  <si>
    <t>ПН</t>
  </si>
  <si>
    <t>Всього на сніданках</t>
  </si>
  <si>
    <t>03.06.2024 Total</t>
  </si>
  <si>
    <t>ВТ</t>
  </si>
  <si>
    <t>04.06.2024 Total</t>
  </si>
  <si>
    <t>СР</t>
  </si>
  <si>
    <t>05.06.2024 Total</t>
  </si>
  <si>
    <t>ЧТ</t>
  </si>
  <si>
    <t>06.06.2024 Total</t>
  </si>
  <si>
    <t>07.06.2024 Total</t>
  </si>
  <si>
    <t>08.06.2024 Total</t>
  </si>
  <si>
    <t>09.06.2024 Total</t>
  </si>
  <si>
    <t>10.06.2024 Total</t>
  </si>
  <si>
    <t>11.06.2024 Total</t>
  </si>
  <si>
    <t>12.06.2024 Total</t>
  </si>
  <si>
    <t>13.06.2024 Total</t>
  </si>
  <si>
    <t>14.06.2024 Total</t>
  </si>
  <si>
    <t>15.06.2024 Total</t>
  </si>
  <si>
    <t>16.06.2024 Total</t>
  </si>
  <si>
    <t>17.06.2024 Total</t>
  </si>
  <si>
    <t>18.06.2024 Total</t>
  </si>
  <si>
    <t>19.06.2024 Total</t>
  </si>
  <si>
    <t>20.06.2024 Total</t>
  </si>
  <si>
    <t>21.06.2024 Total</t>
  </si>
  <si>
    <t>22.06.2024 Total</t>
  </si>
  <si>
    <t>23.06.2024 Total</t>
  </si>
  <si>
    <t>24.06.2024 Total</t>
  </si>
  <si>
    <t>25.06.2024 Total</t>
  </si>
  <si>
    <t>26.06.2024 Total</t>
  </si>
  <si>
    <t>27.06.2024 Total</t>
  </si>
  <si>
    <t>28.06.2024 Total</t>
  </si>
  <si>
    <t>29.06.2024 Total</t>
  </si>
  <si>
    <t>30.06.2024 Total</t>
  </si>
  <si>
    <t>% гостей на сніданках від загального в день</t>
  </si>
  <si>
    <t>% продажу сніданків від оберту в день</t>
  </si>
  <si>
    <t>% чеків сніданків від загального в день</t>
  </si>
  <si>
    <t>Час відкриття першого чеку</t>
  </si>
  <si>
    <t>9.16</t>
  </si>
  <si>
    <t>Всього за день</t>
  </si>
  <si>
    <t>9.17</t>
  </si>
  <si>
    <t>11.20</t>
  </si>
  <si>
    <t>9.31</t>
  </si>
  <si>
    <t>9.23</t>
  </si>
  <si>
    <t>10.37</t>
  </si>
  <si>
    <t>9.52</t>
  </si>
  <si>
    <t>9.51</t>
  </si>
  <si>
    <t>Всього сніданків за місяць в дні з ПН по ЧТ</t>
  </si>
  <si>
    <t>Всього продажів за місяць в дні з ПН по ЧТ</t>
  </si>
  <si>
    <t>1-20 число</t>
  </si>
  <si>
    <t>весь місяць</t>
  </si>
  <si>
    <t>Виторг</t>
  </si>
  <si>
    <t>Фудкост</t>
  </si>
  <si>
    <t>ЗП</t>
  </si>
  <si>
    <t>Комунальні</t>
  </si>
  <si>
    <t>перевірити рахунок</t>
  </si>
  <si>
    <t>Залишок</t>
  </si>
  <si>
    <t>Офіціант</t>
  </si>
  <si>
    <t>Бармен</t>
  </si>
  <si>
    <t>Заготовка</t>
  </si>
  <si>
    <t>Гарячник</t>
  </si>
  <si>
    <t>Мийниця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</si>
</sst>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€]#,##0"/>
    <numFmt numFmtId="165" formatCode="[$€]#,##0.00"/>
    <numFmt numFmtId="166" formatCode="[hh]:mm:ss"/>
    <numFmt numFmtId="167" formatCode="hh:mm"/>
    <numFmt numFmtId="168" formatCode="#,##0.00[$ zł]"/>
    <numFmt numFmtId="169" formatCode="dd.mm.yyyy"/>
    <numFmt numFmtId="170" formatCode="dd.mm"/>
    <numFmt numFmtId="171" formatCode="d.m"/>
    <numFmt numFmtId="172" formatCode="#,##0[$ zł]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2.0"/>
      <color rgb="FF000000"/>
      <name val="Tahoma"/>
    </font>
    <font>
      <sz val="12.0"/>
      <color rgb="FF000000"/>
      <name val="Arial"/>
      <scheme val="minor"/>
    </font>
    <font>
      <sz val="11.0"/>
      <color rgb="FF000000"/>
      <name val="Arial"/>
    </font>
    <font>
      <b/>
      <sz val="11.0"/>
      <color rgb="FF343434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343434"/>
      <name val="Arial"/>
    </font>
    <font>
      <color rgb="FF000000"/>
      <name val="&quot;Helvetica Neue&quot;"/>
    </font>
    <font>
      <sz val="12.0"/>
      <color rgb="FF000000"/>
      <name val="Arial"/>
    </font>
    <font>
      <b/>
      <sz val="11.0"/>
      <color theme="1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D4D4D4"/>
        <bgColor rgb="FFD4D4D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</fills>
  <borders count="10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A9A9A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A9A9A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left style="thin">
        <color rgb="FF9A9A9A"/>
      </left>
      <right style="thin">
        <color rgb="FF999999"/>
      </right>
      <top style="thin">
        <color rgb="FF000000"/>
      </top>
      <bottom style="thin">
        <color rgb="FF6D6D6D"/>
      </bottom>
    </border>
    <border>
      <left style="thin">
        <color rgb="FF999999"/>
      </left>
      <top style="thin">
        <color rgb="FF000000"/>
      </top>
      <bottom style="thin">
        <color rgb="FF6D6D6D"/>
      </bottom>
    </border>
    <border>
      <right style="thin">
        <color rgb="FF000000"/>
      </right>
      <top style="thin">
        <color rgb="FF000000"/>
      </top>
      <bottom style="thin">
        <color rgb="FF6D6D6D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6D6D6D"/>
      </bottom>
    </border>
    <border>
      <left style="thin">
        <color rgb="FF000000"/>
      </left>
      <top style="thin">
        <color rgb="FF999999"/>
      </top>
      <bottom style="thin">
        <color rgb="FF6D6D6D"/>
      </bottom>
    </border>
    <border>
      <right style="thin">
        <color rgb="FF000000"/>
      </right>
      <top style="thin">
        <color rgb="FF999999"/>
      </top>
      <bottom style="thin">
        <color rgb="FF6D6D6D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6D6D6D"/>
      </bottom>
    </border>
    <border>
      <left style="thin">
        <color rgb="FF6D6D6D"/>
      </left>
      <top style="thin">
        <color rgb="FF6D6D6D"/>
      </top>
      <bottom style="thin">
        <color rgb="FF6D6D6D"/>
      </bottom>
    </border>
    <border>
      <top style="thin">
        <color rgb="FF6D6D6D"/>
      </top>
      <bottom style="thin">
        <color rgb="FF6D6D6D"/>
      </bottom>
    </border>
    <border>
      <right style="thin">
        <color rgb="FF6D6D6D"/>
      </right>
      <top style="thin">
        <color rgb="FF6D6D6D"/>
      </top>
      <bottom style="thin">
        <color rgb="FF6D6D6D"/>
      </bottom>
    </border>
    <border>
      <left style="thin">
        <color rgb="FF6D6D6D"/>
      </left>
      <right style="thin">
        <color rgb="FF6D6D6D"/>
      </right>
      <top style="thin">
        <color rgb="FF6D6D6D"/>
      </top>
      <bottom style="thin">
        <color rgb="FF6D6D6D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6D6D6D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6D6D6D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6D6D6D"/>
      </bottom>
    </border>
    <border>
      <left style="thin">
        <color rgb="FF000000"/>
      </left>
      <right style="thin">
        <color rgb="FF6D6D6D"/>
      </right>
      <top style="thin">
        <color rgb="FF000000"/>
      </top>
      <bottom style="thin">
        <color rgb="FF6D6D6D"/>
      </bottom>
    </border>
    <border>
      <left style="thin">
        <color rgb="FF6D6D6D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6D6D6D"/>
      </left>
      <right style="thin">
        <color rgb="FF6D6D6D"/>
      </right>
      <top style="thin">
        <color rgb="FF6D6D6D"/>
      </top>
      <bottom style="thin">
        <color rgb="FF000000"/>
      </bottom>
    </border>
    <border>
      <left style="thin">
        <color rgb="FF6D6D6D"/>
      </left>
      <right style="thin">
        <color rgb="FF6D6D6D"/>
      </right>
      <top style="thin">
        <color rgb="FF000000"/>
      </top>
    </border>
    <border>
      <left style="thin">
        <color rgb="FF6D6D6D"/>
      </left>
      <right style="thin">
        <color rgb="FF6D6D6D"/>
      </right>
    </border>
    <border>
      <left style="thin">
        <color rgb="FF6D6D6D"/>
      </left>
      <right style="thin">
        <color rgb="FF6D6D6D"/>
      </right>
      <bottom style="thin">
        <color rgb="FF6D6D6D"/>
      </bottom>
    </border>
    <border>
      <left style="thin">
        <color rgb="FF6D6D6D"/>
      </left>
      <right style="thin">
        <color rgb="FF6D6D6D"/>
      </right>
      <top style="thin">
        <color rgb="FF000000"/>
      </top>
      <bottom style="thin">
        <color rgb="FF6D6D6D"/>
      </bottom>
    </border>
    <border>
      <left style="thin">
        <color rgb="FF6D6D6D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3" fillId="2" fontId="1" numFmtId="0" xfId="0" applyAlignment="1" applyBorder="1" applyFont="1">
      <alignment readingOrder="0"/>
    </xf>
    <xf borderId="4" fillId="2" fontId="2" numFmtId="0" xfId="0" applyAlignment="1" applyBorder="1" applyFont="1">
      <alignment horizontal="center" readingOrder="0" shrinkToFit="0" wrapText="1"/>
    </xf>
    <xf borderId="5" fillId="2" fontId="2" numFmtId="0" xfId="0" applyAlignment="1" applyBorder="1" applyFont="1">
      <alignment horizontal="center" readingOrder="0" shrinkToFit="0" wrapText="1"/>
    </xf>
    <xf borderId="6" fillId="2" fontId="2" numFmtId="0" xfId="0" applyAlignment="1" applyBorder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horizontal="center" readingOrder="0" shrinkToFit="0" wrapText="1"/>
    </xf>
    <xf borderId="9" fillId="3" fontId="2" numFmtId="10" xfId="0" applyAlignment="1" applyBorder="1" applyFont="1" applyNumberFormat="1">
      <alignment horizontal="center" readingOrder="0" shrinkToFit="0" wrapText="1"/>
    </xf>
    <xf borderId="8" fillId="2" fontId="2" numFmtId="0" xfId="0" applyAlignment="1" applyBorder="1" applyFont="1">
      <alignment horizontal="center" readingOrder="0" shrinkToFit="0" wrapText="1"/>
    </xf>
    <xf borderId="9" fillId="2" fontId="2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11" fillId="0" fontId="3" numFmtId="0" xfId="0" applyBorder="1" applyFont="1"/>
    <xf borderId="12" fillId="2" fontId="2" numFmtId="0" xfId="0" applyAlignment="1" applyBorder="1" applyFont="1">
      <alignment horizontal="center" readingOrder="0" shrinkToFit="0" wrapText="1"/>
    </xf>
    <xf borderId="13" fillId="0" fontId="3" numFmtId="0" xfId="0" applyBorder="1" applyFont="1"/>
    <xf borderId="14" fillId="2" fontId="2" numFmtId="0" xfId="0" applyAlignment="1" applyBorder="1" applyFont="1">
      <alignment horizontal="center" readingOrder="0" shrinkToFit="0" wrapText="1"/>
    </xf>
    <xf borderId="15" fillId="0" fontId="3" numFmtId="0" xfId="0" applyBorder="1" applyFont="1"/>
    <xf borderId="14" fillId="0" fontId="3" numFmtId="0" xfId="0" applyBorder="1" applyFont="1"/>
    <xf borderId="16" fillId="0" fontId="4" numFmtId="0" xfId="0" applyAlignment="1" applyBorder="1" applyFont="1">
      <alignment horizontal="center" readingOrder="0" shrinkToFit="0" vertical="bottom" wrapText="1"/>
    </xf>
    <xf borderId="17" fillId="0" fontId="3" numFmtId="0" xfId="0" applyBorder="1" applyFont="1"/>
    <xf borderId="18" fillId="0" fontId="4" numFmtId="0" xfId="0" applyAlignment="1" applyBorder="1" applyFont="1">
      <alignment horizontal="center" readingOrder="0" shrinkToFit="0" vertical="bottom" wrapText="1"/>
    </xf>
    <xf borderId="18" fillId="4" fontId="1" numFmtId="0" xfId="0" applyAlignment="1" applyBorder="1" applyFill="1" applyFont="1">
      <alignment readingOrder="0"/>
    </xf>
    <xf borderId="8" fillId="4" fontId="1" numFmtId="0" xfId="0" applyBorder="1" applyFont="1"/>
    <xf borderId="9" fillId="4" fontId="1" numFmtId="0" xfId="0" applyBorder="1" applyFont="1"/>
    <xf borderId="19" fillId="4" fontId="1" numFmtId="0" xfId="0" applyBorder="1" applyFont="1"/>
    <xf borderId="20" fillId="4" fontId="1" numFmtId="0" xfId="0" applyBorder="1" applyFont="1"/>
    <xf borderId="8" fillId="4" fontId="1" numFmtId="164" xfId="0" applyBorder="1" applyFont="1" applyNumberFormat="1"/>
    <xf borderId="9" fillId="4" fontId="1" numFmtId="10" xfId="0" applyBorder="1" applyFont="1" applyNumberFormat="1"/>
    <xf borderId="0" fillId="0" fontId="5" numFmtId="0" xfId="0" applyFont="1"/>
    <xf borderId="21" fillId="0" fontId="6" numFmtId="0" xfId="0" applyAlignment="1" applyBorder="1" applyFont="1">
      <alignment horizontal="left" readingOrder="0"/>
    </xf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2" fillId="3" fontId="5" numFmtId="164" xfId="0" applyAlignment="1" applyBorder="1" applyFont="1" applyNumberFormat="1">
      <alignment readingOrder="0"/>
    </xf>
    <xf borderId="23" fillId="3" fontId="5" numFmtId="10" xfId="0" applyBorder="1" applyFont="1" applyNumberFormat="1"/>
    <xf borderId="23" fillId="0" fontId="5" numFmtId="10" xfId="0" applyBorder="1" applyFont="1" applyNumberFormat="1"/>
    <xf borderId="21" fillId="4" fontId="1" numFmtId="0" xfId="0" applyAlignment="1" applyBorder="1" applyFont="1">
      <alignment readingOrder="0"/>
    </xf>
    <xf borderId="22" fillId="4" fontId="1" numFmtId="0" xfId="0" applyBorder="1" applyFont="1"/>
    <xf borderId="23" fillId="4" fontId="1" numFmtId="0" xfId="0" applyBorder="1" applyFont="1"/>
    <xf borderId="24" fillId="4" fontId="1" numFmtId="0" xfId="0" applyBorder="1" applyFont="1"/>
    <xf borderId="25" fillId="4" fontId="1" numFmtId="0" xfId="0" applyBorder="1" applyFont="1"/>
    <xf borderId="22" fillId="4" fontId="1" numFmtId="164" xfId="0" applyBorder="1" applyFont="1" applyNumberFormat="1"/>
    <xf borderId="23" fillId="4" fontId="1" numFmtId="10" xfId="0" applyBorder="1" applyFont="1" applyNumberFormat="1"/>
    <xf borderId="21" fillId="0" fontId="5" numFmtId="0" xfId="0" applyAlignment="1" applyBorder="1" applyFont="1">
      <alignment readingOrder="0"/>
    </xf>
    <xf borderId="22" fillId="3" fontId="5" numFmtId="164" xfId="0" applyBorder="1" applyFont="1" applyNumberFormat="1"/>
    <xf borderId="21" fillId="0" fontId="7" numFmtId="0" xfId="0" applyAlignment="1" applyBorder="1" applyFont="1">
      <alignment readingOrder="0" shrinkToFit="0" wrapText="1"/>
    </xf>
    <xf borderId="21" fillId="0" fontId="4" numFmtId="0" xfId="0" applyAlignment="1" applyBorder="1" applyFont="1">
      <alignment readingOrder="0" shrinkToFit="0" vertical="bottom" wrapText="1"/>
    </xf>
    <xf borderId="23" fillId="3" fontId="5" numFmtId="10" xfId="0" applyAlignment="1" applyBorder="1" applyFont="1" applyNumberFormat="1">
      <alignment readingOrder="0"/>
    </xf>
    <xf borderId="12" fillId="4" fontId="1" numFmtId="0" xfId="0" applyAlignment="1" applyBorder="1" applyFont="1">
      <alignment readingOrder="0"/>
    </xf>
    <xf borderId="26" fillId="4" fontId="1" numFmtId="0" xfId="0" applyBorder="1" applyFont="1"/>
    <xf borderId="27" fillId="4" fontId="1" numFmtId="0" xfId="0" applyBorder="1" applyFont="1"/>
    <xf borderId="15" fillId="4" fontId="1" numFmtId="0" xfId="0" applyBorder="1" applyFont="1"/>
    <xf borderId="28" fillId="4" fontId="1" numFmtId="0" xfId="0" applyBorder="1" applyFont="1"/>
    <xf borderId="28" fillId="4" fontId="1" numFmtId="10" xfId="0" applyBorder="1" applyFont="1" applyNumberFormat="1"/>
    <xf borderId="26" fillId="4" fontId="1" numFmtId="164" xfId="0" applyBorder="1" applyFont="1" applyNumberFormat="1"/>
    <xf borderId="27" fillId="4" fontId="1" numFmtId="10" xfId="0" applyBorder="1" applyFont="1" applyNumberFormat="1"/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5" numFmtId="4" xfId="0" applyFont="1" applyNumberFormat="1"/>
    <xf borderId="29" fillId="5" fontId="8" numFmtId="0" xfId="0" applyAlignment="1" applyBorder="1" applyFill="1" applyFont="1">
      <alignment readingOrder="0" vertical="top"/>
    </xf>
    <xf borderId="30" fillId="0" fontId="3" numFmtId="0" xfId="0" applyBorder="1" applyFont="1"/>
    <xf borderId="31" fillId="0" fontId="3" numFmtId="0" xfId="0" applyBorder="1" applyFont="1"/>
    <xf borderId="32" fillId="0" fontId="9" numFmtId="0" xfId="0" applyAlignment="1" applyBorder="1" applyFont="1">
      <alignment vertical="bottom"/>
    </xf>
    <xf borderId="33" fillId="0" fontId="9" numFmtId="0" xfId="0" applyAlignment="1" applyBorder="1" applyFont="1">
      <alignment vertical="bottom"/>
    </xf>
    <xf borderId="34" fillId="5" fontId="8" numFmtId="0" xfId="0" applyAlignment="1" applyBorder="1" applyFont="1">
      <alignment readingOrder="0" vertical="top"/>
    </xf>
    <xf borderId="35" fillId="0" fontId="3" numFmtId="0" xfId="0" applyBorder="1" applyFont="1"/>
    <xf borderId="24" fillId="0" fontId="3" numFmtId="0" xfId="0" applyBorder="1" applyFont="1"/>
    <xf borderId="36" fillId="0" fontId="9" numFmtId="0" xfId="0" applyAlignment="1" applyBorder="1" applyFont="1">
      <alignment vertical="bottom"/>
    </xf>
    <xf borderId="37" fillId="0" fontId="9" numFmtId="0" xfId="0" applyAlignment="1" applyBorder="1" applyFont="1">
      <alignment vertical="bottom"/>
    </xf>
    <xf borderId="38" fillId="5" fontId="9" numFmtId="0" xfId="0" applyAlignment="1" applyBorder="1" applyFont="1">
      <alignment vertical="top"/>
    </xf>
    <xf borderId="39" fillId="0" fontId="3" numFmtId="0" xfId="0" applyBorder="1" applyFont="1"/>
    <xf borderId="40" fillId="0" fontId="3" numFmtId="0" xfId="0" applyBorder="1" applyFont="1"/>
    <xf borderId="41" fillId="0" fontId="9" numFmtId="0" xfId="0" applyAlignment="1" applyBorder="1" applyFont="1">
      <alignment vertical="bottom"/>
    </xf>
    <xf borderId="42" fillId="0" fontId="9" numFmtId="0" xfId="0" applyAlignment="1" applyBorder="1" applyFont="1">
      <alignment vertical="bottom"/>
    </xf>
    <xf borderId="43" fillId="6" fontId="8" numFmtId="0" xfId="0" applyAlignment="1" applyBorder="1" applyFill="1" applyFont="1">
      <alignment horizontal="center" readingOrder="0"/>
    </xf>
    <xf borderId="44" fillId="0" fontId="3" numFmtId="0" xfId="0" applyBorder="1" applyFont="1"/>
    <xf borderId="45" fillId="6" fontId="8" numFmtId="0" xfId="0" applyAlignment="1" applyBorder="1" applyFont="1">
      <alignment horizontal="center" readingOrder="0"/>
    </xf>
    <xf borderId="43" fillId="7" fontId="8" numFmtId="0" xfId="0" applyAlignment="1" applyBorder="1" applyFill="1" applyFont="1">
      <alignment readingOrder="0"/>
    </xf>
    <xf borderId="46" fillId="0" fontId="3" numFmtId="0" xfId="0" applyBorder="1" applyFont="1"/>
    <xf borderId="47" fillId="0" fontId="9" numFmtId="0" xfId="0" applyAlignment="1" applyBorder="1" applyFont="1">
      <alignment vertical="bottom"/>
    </xf>
    <xf borderId="45" fillId="5" fontId="8" numFmtId="0" xfId="0" applyAlignment="1" applyBorder="1" applyFont="1">
      <alignment readingOrder="0"/>
    </xf>
    <xf borderId="45" fillId="5" fontId="9" numFmtId="0" xfId="0" applyBorder="1" applyFont="1"/>
    <xf borderId="45" fillId="5" fontId="8" numFmtId="0" xfId="0" applyAlignment="1" applyBorder="1" applyFont="1">
      <alignment horizontal="right" readingOrder="0"/>
    </xf>
    <xf borderId="45" fillId="5" fontId="8" numFmtId="166" xfId="0" applyAlignment="1" applyBorder="1" applyFont="1" applyNumberFormat="1">
      <alignment horizontal="right" readingOrder="0"/>
    </xf>
    <xf borderId="43" fillId="5" fontId="8" numFmtId="0" xfId="0" applyAlignment="1" applyBorder="1" applyFont="1">
      <alignment horizontal="right" readingOrder="0"/>
    </xf>
    <xf borderId="48" fillId="0" fontId="9" numFmtId="0" xfId="0" applyAlignment="1" applyBorder="1" applyFont="1">
      <alignment vertical="bottom"/>
    </xf>
    <xf borderId="43" fillId="5" fontId="9" numFmtId="0" xfId="0" applyBorder="1" applyFont="1"/>
    <xf borderId="49" fillId="6" fontId="9" numFmtId="0" xfId="0" applyBorder="1" applyFont="1"/>
    <xf borderId="50" fillId="0" fontId="3" numFmtId="0" xfId="0" applyBorder="1" applyFont="1"/>
    <xf borderId="51" fillId="6" fontId="9" numFmtId="0" xfId="0" applyBorder="1" applyFont="1"/>
    <xf borderId="52" fillId="6" fontId="9" numFmtId="0" xfId="0" applyBorder="1" applyFont="1"/>
    <xf borderId="53" fillId="0" fontId="3" numFmtId="0" xfId="0" applyBorder="1" applyFont="1"/>
    <xf borderId="54" fillId="6" fontId="9" numFmtId="0" xfId="0" applyBorder="1" applyFont="1"/>
    <xf borderId="55" fillId="6" fontId="9" numFmtId="0" xfId="0" applyBorder="1" applyFont="1"/>
    <xf borderId="56" fillId="0" fontId="3" numFmtId="0" xfId="0" applyBorder="1" applyFont="1"/>
    <xf borderId="45" fillId="6" fontId="8" numFmtId="0" xfId="0" applyAlignment="1" applyBorder="1" applyFont="1">
      <alignment horizontal="right" readingOrder="0"/>
    </xf>
    <xf borderId="45" fillId="6" fontId="9" numFmtId="0" xfId="0" applyBorder="1" applyFont="1"/>
    <xf borderId="45" fillId="6" fontId="8" numFmtId="166" xfId="0" applyAlignment="1" applyBorder="1" applyFont="1" applyNumberFormat="1">
      <alignment horizontal="right" readingOrder="0"/>
    </xf>
    <xf borderId="43" fillId="6" fontId="8" numFmtId="0" xfId="0" applyAlignment="1" applyBorder="1" applyFont="1">
      <alignment horizontal="right" readingOrder="0"/>
    </xf>
    <xf borderId="57" fillId="0" fontId="9" numFmtId="0" xfId="0" applyAlignment="1" applyBorder="1" applyFont="1">
      <alignment vertical="bottom"/>
    </xf>
    <xf borderId="58" fillId="6" fontId="9" numFmtId="0" xfId="0" applyBorder="1" applyFont="1"/>
    <xf borderId="45" fillId="5" fontId="8" numFmtId="167" xfId="0" applyAlignment="1" applyBorder="1" applyFont="1" applyNumberFormat="1">
      <alignment horizontal="right" readingOrder="0"/>
    </xf>
    <xf borderId="45" fillId="6" fontId="8" numFmtId="167" xfId="0" applyAlignment="1" applyBorder="1" applyFont="1" applyNumberFormat="1">
      <alignment horizontal="right" readingOrder="0"/>
    </xf>
    <xf borderId="43" fillId="6" fontId="9" numFmtId="0" xfId="0" applyBorder="1" applyFont="1"/>
    <xf borderId="59" fillId="0" fontId="9" numFmtId="0" xfId="0" applyAlignment="1" applyBorder="1" applyFont="1">
      <alignment vertical="bottom"/>
    </xf>
    <xf borderId="60" fillId="6" fontId="9" numFmtId="0" xfId="0" applyBorder="1" applyFont="1"/>
    <xf borderId="61" fillId="0" fontId="3" numFmtId="0" xfId="0" applyBorder="1" applyFont="1"/>
    <xf borderId="62" fillId="6" fontId="9" numFmtId="0" xfId="0" applyBorder="1" applyFont="1"/>
    <xf borderId="63" fillId="6" fontId="9" numFmtId="0" xfId="0" applyBorder="1" applyFont="1"/>
    <xf borderId="64" fillId="0" fontId="3" numFmtId="0" xfId="0" applyBorder="1" applyFont="1"/>
    <xf borderId="65" fillId="6" fontId="9" numFmtId="0" xfId="0" applyBorder="1" applyFont="1"/>
    <xf borderId="66" fillId="8" fontId="9" numFmtId="0" xfId="0" applyBorder="1" applyFill="1" applyFont="1"/>
    <xf borderId="67" fillId="0" fontId="3" numFmtId="0" xfId="0" applyBorder="1" applyFont="1"/>
    <xf borderId="68" fillId="0" fontId="3" numFmtId="0" xfId="0" applyBorder="1" applyFont="1"/>
    <xf borderId="69" fillId="8" fontId="8" numFmtId="0" xfId="0" applyAlignment="1" applyBorder="1" applyFont="1">
      <alignment horizontal="right" readingOrder="0"/>
    </xf>
    <xf borderId="69" fillId="8" fontId="9" numFmtId="0" xfId="0" applyBorder="1" applyFont="1"/>
    <xf borderId="69" fillId="8" fontId="8" numFmtId="166" xfId="0" applyAlignment="1" applyBorder="1" applyFont="1" applyNumberFormat="1">
      <alignment horizontal="right" readingOrder="0"/>
    </xf>
    <xf borderId="66" fillId="8" fontId="8" numFmtId="0" xfId="0" applyAlignment="1" applyBorder="1" applyFont="1">
      <alignment horizontal="right" readingOrder="0"/>
    </xf>
    <xf borderId="0" fillId="9" fontId="1" numFmtId="0" xfId="0" applyAlignment="1" applyFill="1" applyFont="1">
      <alignment readingOrder="0"/>
    </xf>
    <xf borderId="70" fillId="9" fontId="1" numFmtId="0" xfId="0" applyAlignment="1" applyBorder="1" applyFont="1">
      <alignment readingOrder="0"/>
    </xf>
    <xf borderId="71" fillId="9" fontId="1" numFmtId="168" xfId="0" applyAlignment="1" applyBorder="1" applyFont="1" applyNumberFormat="1">
      <alignment readingOrder="0"/>
    </xf>
    <xf borderId="72" fillId="9" fontId="1" numFmtId="10" xfId="0" applyBorder="1" applyFont="1" applyNumberFormat="1"/>
    <xf borderId="70" fillId="9" fontId="1" numFmtId="168" xfId="0" applyAlignment="1" applyBorder="1" applyFont="1" applyNumberFormat="1">
      <alignment readingOrder="0"/>
    </xf>
    <xf borderId="72" fillId="2" fontId="1" numFmtId="10" xfId="0" applyAlignment="1" applyBorder="1" applyFont="1" applyNumberFormat="1">
      <alignment readingOrder="0"/>
    </xf>
    <xf borderId="70" fillId="2" fontId="1" numFmtId="0" xfId="0" applyAlignment="1" applyBorder="1" applyFont="1">
      <alignment readingOrder="0"/>
    </xf>
    <xf borderId="71" fillId="2" fontId="1" numFmtId="168" xfId="0" applyAlignment="1" applyBorder="1" applyFont="1" applyNumberFormat="1">
      <alignment readingOrder="0"/>
    </xf>
    <xf borderId="72" fillId="2" fontId="1" numFmtId="10" xfId="0" applyBorder="1" applyFont="1" applyNumberFormat="1"/>
    <xf borderId="8" fillId="0" fontId="5" numFmtId="0" xfId="0" applyAlignment="1" applyBorder="1" applyFont="1">
      <alignment readingOrder="0"/>
    </xf>
    <xf borderId="73" fillId="0" fontId="5" numFmtId="168" xfId="0" applyAlignment="1" applyBorder="1" applyFont="1" applyNumberFormat="1">
      <alignment readingOrder="0"/>
    </xf>
    <xf borderId="9" fillId="0" fontId="5" numFmtId="10" xfId="0" applyBorder="1" applyFont="1" applyNumberFormat="1"/>
    <xf borderId="74" fillId="0" fontId="5" numFmtId="0" xfId="0" applyAlignment="1" applyBorder="1" applyFont="1">
      <alignment readingOrder="0"/>
    </xf>
    <xf borderId="75" fillId="0" fontId="5" numFmtId="168" xfId="0" applyAlignment="1" applyBorder="1" applyFont="1" applyNumberFormat="1">
      <alignment readingOrder="0"/>
    </xf>
    <xf borderId="76" fillId="0" fontId="5" numFmtId="10" xfId="0" applyBorder="1" applyFont="1" applyNumberFormat="1"/>
    <xf borderId="22" fillId="0" fontId="5" numFmtId="0" xfId="0" applyAlignment="1" applyBorder="1" applyFont="1">
      <alignment readingOrder="0"/>
    </xf>
    <xf borderId="36" fillId="0" fontId="5" numFmtId="168" xfId="0" applyAlignment="1" applyBorder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74" fillId="0" fontId="5" numFmtId="0" xfId="0" applyAlignment="1" applyBorder="1" applyFont="1">
      <alignment readingOrder="0" shrinkToFit="0" wrapText="1"/>
    </xf>
    <xf borderId="26" fillId="0" fontId="5" numFmtId="0" xfId="0" applyAlignment="1" applyBorder="1" applyFont="1">
      <alignment readingOrder="0" shrinkToFit="0" wrapText="1"/>
    </xf>
    <xf borderId="77" fillId="0" fontId="5" numFmtId="168" xfId="0" applyAlignment="1" applyBorder="1" applyFont="1" applyNumberFormat="1">
      <alignment readingOrder="0"/>
    </xf>
    <xf borderId="27" fillId="0" fontId="5" numFmtId="10" xfId="0" applyBorder="1" applyFont="1" applyNumberFormat="1"/>
    <xf borderId="0" fillId="5" fontId="10" numFmtId="0" xfId="0" applyAlignment="1" applyFont="1">
      <alignment readingOrder="0" vertical="top"/>
    </xf>
    <xf borderId="0" fillId="0" fontId="10" numFmtId="0" xfId="0" applyAlignment="1" applyFont="1">
      <alignment vertical="bottom"/>
    </xf>
    <xf borderId="78" fillId="6" fontId="10" numFmtId="0" xfId="0" applyAlignment="1" applyBorder="1" applyFont="1">
      <alignment horizontal="center" readingOrder="0" shrinkToFit="0" wrapText="1"/>
    </xf>
    <xf borderId="79" fillId="6" fontId="10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0" fillId="5" fontId="10" numFmtId="0" xfId="0" applyAlignment="1" applyFont="1">
      <alignment readingOrder="0"/>
    </xf>
    <xf borderId="45" fillId="5" fontId="10" numFmtId="0" xfId="0" applyAlignment="1" applyBorder="1" applyFont="1">
      <alignment readingOrder="0"/>
    </xf>
    <xf borderId="45" fillId="5" fontId="10" numFmtId="0" xfId="0" applyAlignment="1" applyBorder="1" applyFont="1">
      <alignment horizontal="right" readingOrder="0"/>
    </xf>
    <xf borderId="43" fillId="5" fontId="10" numFmtId="0" xfId="0" applyAlignment="1" applyBorder="1" applyFont="1">
      <alignment horizontal="right" readingOrder="0"/>
    </xf>
    <xf borderId="45" fillId="10" fontId="10" numFmtId="0" xfId="0" applyAlignment="1" applyBorder="1" applyFill="1" applyFont="1">
      <alignment horizontal="right" readingOrder="0"/>
    </xf>
    <xf borderId="80" fillId="5" fontId="10" numFmtId="0" xfId="0" applyAlignment="1" applyBorder="1" applyFont="1">
      <alignment horizontal="right" readingOrder="0"/>
    </xf>
    <xf borderId="81" fillId="5" fontId="10" numFmtId="0" xfId="0" applyAlignment="1" applyBorder="1" applyFont="1">
      <alignment horizontal="right" readingOrder="0"/>
    </xf>
    <xf borderId="44" fillId="5" fontId="10" numFmtId="0" xfId="0" applyAlignment="1" applyBorder="1" applyFont="1">
      <alignment horizontal="right" readingOrder="0"/>
    </xf>
    <xf borderId="79" fillId="5" fontId="10" numFmtId="0" xfId="0" applyAlignment="1" applyBorder="1" applyFont="1">
      <alignment horizontal="right" readingOrder="0"/>
    </xf>
    <xf borderId="82" fillId="5" fontId="10" numFmtId="0" xfId="0" applyAlignment="1" applyBorder="1" applyFont="1">
      <alignment readingOrder="0"/>
    </xf>
    <xf borderId="82" fillId="5" fontId="10" numFmtId="0" xfId="0" applyAlignment="1" applyBorder="1" applyFont="1">
      <alignment horizontal="right" readingOrder="0"/>
    </xf>
    <xf borderId="82" fillId="10" fontId="10" numFmtId="0" xfId="0" applyAlignment="1" applyBorder="1" applyFont="1">
      <alignment horizontal="right" readingOrder="0"/>
    </xf>
    <xf borderId="0" fillId="8" fontId="10" numFmtId="0" xfId="0" applyFont="1"/>
    <xf borderId="69" fillId="8" fontId="10" numFmtId="0" xfId="0" applyBorder="1" applyFont="1"/>
    <xf borderId="69" fillId="8" fontId="10" numFmtId="0" xfId="0" applyAlignment="1" applyBorder="1" applyFont="1">
      <alignment horizontal="right" readingOrder="0"/>
    </xf>
    <xf borderId="29" fillId="5" fontId="10" numFmtId="0" xfId="0" applyAlignment="1" applyBorder="1" applyFont="1">
      <alignment readingOrder="0" vertical="top"/>
    </xf>
    <xf borderId="83" fillId="0" fontId="3" numFmtId="0" xfId="0" applyBorder="1" applyFont="1"/>
    <xf borderId="34" fillId="5" fontId="10" numFmtId="0" xfId="0" applyAlignment="1" applyBorder="1" applyFont="1">
      <alignment readingOrder="0" vertical="top"/>
    </xf>
    <xf borderId="84" fillId="0" fontId="3" numFmtId="0" xfId="0" applyBorder="1" applyFont="1"/>
    <xf borderId="85" fillId="0" fontId="10" numFmtId="0" xfId="0" applyAlignment="1" applyBorder="1" applyFont="1">
      <alignment vertical="bottom"/>
    </xf>
    <xf borderId="86" fillId="0" fontId="10" numFmtId="0" xfId="0" applyAlignment="1" applyBorder="1" applyFont="1">
      <alignment vertical="bottom"/>
    </xf>
    <xf borderId="66" fillId="11" fontId="10" numFmtId="0" xfId="0" applyAlignment="1" applyBorder="1" applyFill="1" applyFont="1">
      <alignment readingOrder="0"/>
    </xf>
    <xf borderId="87" fillId="0" fontId="10" numFmtId="0" xfId="0" applyAlignment="1" applyBorder="1" applyFont="1">
      <alignment vertical="bottom"/>
    </xf>
    <xf borderId="69" fillId="11" fontId="10" numFmtId="0" xfId="0" applyAlignment="1" applyBorder="1" applyFont="1">
      <alignment readingOrder="0"/>
    </xf>
    <xf borderId="88" fillId="11" fontId="10" numFmtId="169" xfId="0" applyAlignment="1" applyBorder="1" applyFont="1" applyNumberFormat="1">
      <alignment readingOrder="0"/>
    </xf>
    <xf borderId="69" fillId="12" fontId="11" numFmtId="0" xfId="0" applyAlignment="1" applyBorder="1" applyFill="1" applyFont="1">
      <alignment horizontal="right" readingOrder="0"/>
    </xf>
    <xf borderId="89" fillId="11" fontId="10" numFmtId="0" xfId="0" applyBorder="1" applyFont="1"/>
    <xf borderId="90" fillId="0" fontId="3" numFmtId="0" xfId="0" applyBorder="1" applyFont="1"/>
    <xf borderId="91" fillId="0" fontId="3" numFmtId="0" xfId="0" applyBorder="1" applyFont="1"/>
    <xf borderId="91" fillId="11" fontId="10" numFmtId="0" xfId="0" applyAlignment="1" applyBorder="1" applyFont="1">
      <alignment readingOrder="0"/>
    </xf>
    <xf borderId="88" fillId="3" fontId="10" numFmtId="169" xfId="0" applyAlignment="1" applyBorder="1" applyFont="1" applyNumberFormat="1">
      <alignment readingOrder="0"/>
    </xf>
    <xf borderId="69" fillId="3" fontId="10" numFmtId="0" xfId="0" applyAlignment="1" applyBorder="1" applyFont="1">
      <alignment readingOrder="0"/>
    </xf>
    <xf borderId="69" fillId="3" fontId="11" numFmtId="0" xfId="0" applyAlignment="1" applyBorder="1" applyFont="1">
      <alignment horizontal="right" readingOrder="0"/>
    </xf>
    <xf borderId="87" fillId="3" fontId="10" numFmtId="0" xfId="0" applyAlignment="1" applyBorder="1" applyFont="1">
      <alignment vertical="bottom"/>
    </xf>
    <xf borderId="0" fillId="3" fontId="5" numFmtId="0" xfId="0" applyAlignment="1" applyFont="1">
      <alignment readingOrder="0"/>
    </xf>
    <xf borderId="91" fillId="3" fontId="10" numFmtId="0" xfId="0" applyAlignment="1" applyBorder="1" applyFont="1">
      <alignment readingOrder="0"/>
    </xf>
    <xf borderId="69" fillId="3" fontId="11" numFmtId="10" xfId="0" applyAlignment="1" applyBorder="1" applyFont="1" applyNumberFormat="1">
      <alignment horizontal="right" readingOrder="0"/>
    </xf>
    <xf borderId="0" fillId="3" fontId="5" numFmtId="0" xfId="0" applyFont="1"/>
    <xf borderId="92" fillId="11" fontId="10" numFmtId="0" xfId="0" applyBorder="1" applyFont="1"/>
    <xf borderId="93" fillId="0" fontId="10" numFmtId="0" xfId="0" applyAlignment="1" applyBorder="1" applyFont="1">
      <alignment vertical="bottom"/>
    </xf>
    <xf borderId="94" fillId="0" fontId="12" numFmtId="0" xfId="0" applyAlignment="1" applyBorder="1" applyFont="1">
      <alignment horizontal="left" shrinkToFit="0" vertical="top" wrapText="1"/>
    </xf>
    <xf borderId="95" fillId="0" fontId="3" numFmtId="0" xfId="0" applyBorder="1" applyFont="1"/>
    <xf borderId="96" fillId="0" fontId="3" numFmtId="0" xfId="0" applyBorder="1" applyFon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shrinkToFit="0" vertical="center" wrapText="1"/>
    </xf>
    <xf borderId="97" fillId="0" fontId="12" numFmtId="169" xfId="0" applyAlignment="1" applyBorder="1" applyFont="1" applyNumberFormat="1">
      <alignment horizontal="left" shrinkToFit="0" wrapText="1"/>
    </xf>
    <xf borderId="98" fillId="0" fontId="12" numFmtId="0" xfId="0" applyAlignment="1" applyBorder="1" applyFont="1">
      <alignment horizontal="center" readingOrder="0" shrinkToFit="0" wrapText="1"/>
    </xf>
    <xf borderId="98" fillId="0" fontId="12" numFmtId="0" xfId="0" applyAlignment="1" applyBorder="1" applyFont="1">
      <alignment horizontal="center" readingOrder="0" shrinkToFit="0" vertical="bottom" wrapText="1"/>
    </xf>
    <xf borderId="98" fillId="0" fontId="11" numFmtId="0" xfId="0" applyAlignment="1" applyBorder="1" applyFont="1">
      <alignment horizontal="center" readingOrder="0" shrinkToFit="0" wrapText="1"/>
    </xf>
    <xf borderId="99" fillId="0" fontId="12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readingOrder="0" shrinkToFit="0" vertical="center" wrapText="1"/>
    </xf>
    <xf borderId="4" fillId="0" fontId="10" numFmtId="169" xfId="0" applyAlignment="1" applyBorder="1" applyFont="1" applyNumberFormat="1">
      <alignment horizontal="left" readingOrder="0" shrinkToFit="0" wrapText="1"/>
    </xf>
    <xf borderId="100" fillId="0" fontId="14" numFmtId="0" xfId="0" applyAlignment="1" applyBorder="1" applyFont="1">
      <alignment horizontal="center" shrinkToFit="0" wrapText="1"/>
    </xf>
    <xf borderId="5" fillId="0" fontId="14" numFmtId="10" xfId="0" applyAlignment="1" applyBorder="1" applyFont="1" applyNumberFormat="1">
      <alignment horizontal="center" shrinkToFit="0" wrapText="1"/>
    </xf>
    <xf borderId="0" fillId="0" fontId="13" numFmtId="0" xfId="0" applyAlignment="1" applyFont="1">
      <alignment readingOrder="0" shrinkToFit="0" wrapText="1"/>
    </xf>
    <xf borderId="0" fillId="0" fontId="15" numFmtId="0" xfId="0" applyAlignment="1" applyFont="1">
      <alignment readingOrder="0"/>
    </xf>
    <xf borderId="22" fillId="0" fontId="10" numFmtId="0" xfId="0" applyAlignment="1" applyBorder="1" applyFont="1">
      <alignment horizontal="left" readingOrder="0" shrinkToFit="0" wrapText="1"/>
    </xf>
    <xf borderId="36" fillId="0" fontId="14" numFmtId="0" xfId="0" applyAlignment="1" applyBorder="1" applyFont="1">
      <alignment horizontal="center" shrinkToFit="0" wrapText="1"/>
    </xf>
    <xf borderId="36" fillId="0" fontId="14" numFmtId="10" xfId="0" applyAlignment="1" applyBorder="1" applyFont="1" applyNumberFormat="1">
      <alignment horizontal="center" shrinkToFit="0" wrapText="1"/>
    </xf>
    <xf borderId="23" fillId="0" fontId="14" numFmtId="10" xfId="0" applyAlignment="1" applyBorder="1" applyFont="1" applyNumberFormat="1">
      <alignment horizontal="center" shrinkToFit="0" wrapText="1"/>
    </xf>
    <xf borderId="26" fillId="0" fontId="10" numFmtId="0" xfId="0" applyAlignment="1" applyBorder="1" applyFont="1">
      <alignment horizontal="left" readingOrder="0" shrinkToFit="0" wrapText="1"/>
    </xf>
    <xf borderId="77" fillId="0" fontId="14" numFmtId="0" xfId="0" applyAlignment="1" applyBorder="1" applyFont="1">
      <alignment horizontal="center" shrinkToFit="0" wrapText="1"/>
    </xf>
    <xf borderId="27" fillId="0" fontId="10" numFmtId="0" xfId="0" applyAlignment="1" applyBorder="1" applyFont="1">
      <alignment horizontal="center" shrinkToFit="0" vertical="bottom" wrapText="1"/>
    </xf>
    <xf borderId="8" fillId="0" fontId="10" numFmtId="169" xfId="0" applyAlignment="1" applyBorder="1" applyFont="1" applyNumberFormat="1">
      <alignment horizontal="left" shrinkToFit="0" wrapText="1"/>
    </xf>
    <xf borderId="73" fillId="0" fontId="14" numFmtId="0" xfId="0" applyAlignment="1" applyBorder="1" applyFont="1">
      <alignment horizontal="center" shrinkToFit="0" wrapText="1"/>
    </xf>
    <xf borderId="9" fillId="0" fontId="10" numFmtId="0" xfId="0" applyAlignment="1" applyBorder="1" applyFont="1">
      <alignment horizontal="center" shrinkToFit="0" vertical="bottom" wrapText="1"/>
    </xf>
    <xf borderId="0" fillId="0" fontId="13" numFmtId="170" xfId="0" applyAlignment="1" applyFont="1" applyNumberFormat="1">
      <alignment horizontal="center" readingOrder="0" shrinkToFit="0" vertical="center" wrapText="1"/>
    </xf>
    <xf borderId="74" fillId="0" fontId="10" numFmtId="0" xfId="0" applyAlignment="1" applyBorder="1" applyFont="1">
      <alignment horizontal="left" readingOrder="0" shrinkToFit="0" wrapText="1"/>
    </xf>
    <xf borderId="75" fillId="0" fontId="14" numFmtId="0" xfId="0" applyAlignment="1" applyBorder="1" applyFont="1">
      <alignment horizontal="center" shrinkToFit="0" wrapText="1"/>
    </xf>
    <xf borderId="76" fillId="0" fontId="10" numFmtId="0" xfId="0" applyAlignment="1" applyBorder="1" applyFont="1">
      <alignment horizontal="center" shrinkToFit="0" vertical="bottom" wrapText="1"/>
    </xf>
    <xf borderId="4" fillId="0" fontId="10" numFmtId="169" xfId="0" applyAlignment="1" applyBorder="1" applyFont="1" applyNumberFormat="1">
      <alignment horizontal="left" shrinkToFit="0" wrapText="1"/>
    </xf>
    <xf borderId="5" fillId="0" fontId="10" numFmtId="0" xfId="0" applyAlignment="1" applyBorder="1" applyFont="1">
      <alignment horizontal="center" shrinkToFit="0" vertical="bottom" wrapText="1"/>
    </xf>
    <xf borderId="0" fillId="0" fontId="13" numFmtId="171" xfId="0" applyAlignment="1" applyFont="1" applyNumberFormat="1">
      <alignment horizontal="center" readingOrder="0" shrinkToFit="0" vertical="center" wrapText="1"/>
    </xf>
    <xf borderId="0" fillId="0" fontId="16" numFmtId="168" xfId="0" applyAlignment="1" applyFont="1" applyNumberFormat="1">
      <alignment readingOrder="0"/>
    </xf>
    <xf borderId="0" fillId="0" fontId="13" numFmtId="168" xfId="0" applyAlignment="1" applyFont="1" applyNumberFormat="1">
      <alignment shrinkToFit="0" wrapText="1"/>
    </xf>
    <xf borderId="0" fillId="0" fontId="13" numFmtId="168" xfId="0" applyAlignment="1" applyFont="1" applyNumberFormat="1">
      <alignment readingOrder="0" shrinkToFit="0" wrapText="1"/>
    </xf>
    <xf borderId="4" fillId="2" fontId="17" numFmtId="0" xfId="0" applyAlignment="1" applyBorder="1" applyFont="1">
      <alignment horizontal="left" readingOrder="0" shrinkToFit="0" wrapText="1"/>
    </xf>
    <xf borderId="100" fillId="2" fontId="17" numFmtId="0" xfId="0" applyAlignment="1" applyBorder="1" applyFont="1">
      <alignment horizontal="center" shrinkToFit="0" wrapText="1"/>
    </xf>
    <xf borderId="100" fillId="2" fontId="11" numFmtId="10" xfId="0" applyAlignment="1" applyBorder="1" applyFont="1" applyNumberFormat="1">
      <alignment horizontal="center" shrinkToFit="0" wrapText="1"/>
    </xf>
    <xf borderId="100" fillId="13" fontId="17" numFmtId="0" xfId="0" applyAlignment="1" applyBorder="1" applyFill="1" applyFont="1">
      <alignment horizontal="center" shrinkToFit="0" wrapText="1"/>
    </xf>
    <xf borderId="5" fillId="2" fontId="11" numFmtId="10" xfId="0" applyAlignment="1" applyBorder="1" applyFont="1" applyNumberFormat="1">
      <alignment horizontal="center" shrinkToFit="0" wrapText="1"/>
    </xf>
    <xf borderId="26" fillId="2" fontId="17" numFmtId="0" xfId="0" applyAlignment="1" applyBorder="1" applyFont="1">
      <alignment horizontal="left" readingOrder="0" shrinkToFit="0" wrapText="1"/>
    </xf>
    <xf borderId="77" fillId="2" fontId="17" numFmtId="0" xfId="0" applyAlignment="1" applyBorder="1" applyFont="1">
      <alignment horizontal="center" shrinkToFit="0" wrapText="1"/>
    </xf>
    <xf borderId="27" fillId="2" fontId="17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center" shrinkToFit="0" wrapText="1"/>
    </xf>
    <xf borderId="36" fillId="0" fontId="13" numFmtId="0" xfId="0" applyAlignment="1" applyBorder="1" applyFont="1">
      <alignment horizontal="left" shrinkToFit="0" wrapText="1"/>
    </xf>
    <xf borderId="36" fillId="0" fontId="13" numFmtId="0" xfId="0" applyAlignment="1" applyBorder="1" applyFont="1">
      <alignment horizontal="center" readingOrder="0" shrinkToFit="0" wrapText="1"/>
    </xf>
    <xf borderId="36" fillId="0" fontId="18" numFmtId="0" xfId="0" applyAlignment="1" applyBorder="1" applyFont="1">
      <alignment horizontal="left" readingOrder="0"/>
    </xf>
    <xf borderId="36" fillId="13" fontId="19" numFmtId="172" xfId="0" applyAlignment="1" applyBorder="1" applyFont="1" applyNumberFormat="1">
      <alignment horizontal="center" readingOrder="0"/>
    </xf>
    <xf borderId="36" fillId="13" fontId="13" numFmtId="172" xfId="0" applyAlignment="1" applyBorder="1" applyFont="1" applyNumberFormat="1">
      <alignment horizontal="center" shrinkToFit="0" wrapText="1"/>
    </xf>
    <xf borderId="36" fillId="0" fontId="19" numFmtId="172" xfId="0" applyAlignment="1" applyBorder="1" applyFont="1" applyNumberFormat="1">
      <alignment horizontal="center" readingOrder="0"/>
    </xf>
    <xf borderId="36" fillId="0" fontId="13" numFmtId="172" xfId="0" applyAlignment="1" applyBorder="1" applyFont="1" applyNumberFormat="1">
      <alignment horizontal="center" shrinkToFit="0" wrapText="1"/>
    </xf>
    <xf borderId="0" fillId="0" fontId="13" numFmtId="0" xfId="0" applyAlignment="1" applyFont="1">
      <alignment horizontal="center" readingOrder="0" shrinkToFit="0" wrapText="1"/>
    </xf>
    <xf borderId="36" fillId="0" fontId="13" numFmtId="172" xfId="0" applyAlignment="1" applyBorder="1" applyFont="1" applyNumberFormat="1">
      <alignment horizontal="center" readingOrder="0" shrinkToFit="0" wrapText="1"/>
    </xf>
    <xf borderId="0" fillId="13" fontId="13" numFmtId="0" xfId="0" applyAlignment="1" applyFont="1">
      <alignment horizontal="center" readingOrder="0" shrinkToFit="0" wrapText="1"/>
    </xf>
    <xf borderId="0" fillId="0" fontId="13" numFmtId="10" xfId="0" applyAlignment="1" applyFont="1" applyNumberFormat="1">
      <alignment horizontal="center" shrinkToFit="0" wrapText="1"/>
    </xf>
    <xf borderId="0" fillId="0" fontId="20" numFmtId="0" xfId="0" applyAlignment="1" applyFont="1">
      <alignment readingOrder="0" vertical="bottom"/>
    </xf>
    <xf borderId="0" fillId="0" fontId="13" numFmtId="168" xfId="0" applyAlignment="1" applyFont="1" applyNumberFormat="1">
      <alignment horizontal="right" readingOrder="0" shrinkToFit="0" vertical="bottom" wrapText="1"/>
    </xf>
    <xf borderId="0" fillId="0" fontId="13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right" shrinkToFit="0" wrapText="1"/>
    </xf>
    <xf borderId="36" fillId="0" fontId="13" numFmtId="0" xfId="0" applyAlignment="1" applyBorder="1" applyFont="1">
      <alignment horizontal="center" shrinkToFit="0" wrapText="1"/>
    </xf>
    <xf borderId="36" fillId="0" fontId="1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0"/>
    <col customWidth="1" hidden="1" min="2" max="7" width="10.88"/>
    <col customWidth="1" min="8" max="18" width="10.88"/>
    <col customWidth="1" min="19" max="19" width="7.75"/>
    <col customWidth="1" min="20" max="20" width="10.88"/>
    <col customWidth="1" min="21" max="21" width="7.75"/>
    <col customWidth="1" min="22" max="22" width="10.88"/>
    <col customWidth="1" min="23" max="23" width="7.75"/>
    <col customWidth="1" min="24" max="24" width="10.88"/>
    <col customWidth="1" min="25" max="25" width="7.75"/>
    <col customWidth="1" hidden="1" min="26" max="26" width="9.38"/>
    <col customWidth="1" hidden="1" min="27" max="27" width="6.5"/>
    <col customWidth="1" hidden="1" min="28" max="28" width="8.75"/>
    <col customWidth="1" hidden="1" min="29" max="29" width="6.5"/>
    <col customWidth="1" hidden="1" min="30" max="30" width="8.25"/>
    <col customWidth="1" hidden="1" min="31" max="31" width="6.5"/>
    <col customWidth="1" hidden="1" min="32" max="32" width="8.63"/>
    <col customWidth="1" hidden="1" min="33" max="33" width="6.5"/>
    <col customWidth="1" hidden="1" min="34" max="34" width="8.25"/>
    <col customWidth="1" hidden="1" min="35" max="35" width="6.5"/>
  </cols>
  <sheetData>
    <row r="1">
      <c r="A1" s="1"/>
      <c r="B1" s="2"/>
      <c r="C1" s="2"/>
      <c r="D1" s="2"/>
      <c r="E1" s="2"/>
      <c r="F1" s="2"/>
      <c r="G1" s="2"/>
      <c r="H1" s="3" t="s">
        <v>0</v>
      </c>
      <c r="I1" s="4"/>
      <c r="J1" s="5" t="s">
        <v>1</v>
      </c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7" t="s">
        <v>2</v>
      </c>
      <c r="B2" s="8" t="s">
        <v>3</v>
      </c>
      <c r="C2" s="9" t="s">
        <v>4</v>
      </c>
      <c r="D2" s="10" t="s">
        <v>3</v>
      </c>
      <c r="E2" s="11" t="s">
        <v>4</v>
      </c>
      <c r="F2" s="8" t="s">
        <v>3</v>
      </c>
      <c r="G2" s="9" t="s">
        <v>4</v>
      </c>
      <c r="H2" s="12" t="s">
        <v>3</v>
      </c>
      <c r="I2" s="13" t="s">
        <v>4</v>
      </c>
      <c r="J2" s="14" t="s">
        <v>3</v>
      </c>
      <c r="K2" s="15" t="s">
        <v>4</v>
      </c>
      <c r="L2" s="8" t="s">
        <v>3</v>
      </c>
      <c r="M2" s="9" t="s">
        <v>4</v>
      </c>
      <c r="N2" s="8" t="s">
        <v>3</v>
      </c>
      <c r="O2" s="9" t="s">
        <v>4</v>
      </c>
      <c r="P2" s="8" t="s">
        <v>3</v>
      </c>
      <c r="Q2" s="9" t="s">
        <v>4</v>
      </c>
      <c r="R2" s="8" t="s">
        <v>3</v>
      </c>
      <c r="S2" s="9" t="s">
        <v>4</v>
      </c>
      <c r="T2" s="8" t="s">
        <v>3</v>
      </c>
      <c r="U2" s="9" t="s">
        <v>4</v>
      </c>
      <c r="V2" s="8" t="s">
        <v>3</v>
      </c>
      <c r="W2" s="9" t="s">
        <v>4</v>
      </c>
      <c r="X2" s="8" t="s">
        <v>3</v>
      </c>
      <c r="Y2" s="9" t="s">
        <v>4</v>
      </c>
      <c r="Z2" s="16" t="s">
        <v>3</v>
      </c>
      <c r="AA2" s="17" t="s">
        <v>4</v>
      </c>
      <c r="AB2" s="18" t="s">
        <v>3</v>
      </c>
      <c r="AC2" s="17" t="s">
        <v>4</v>
      </c>
      <c r="AD2" s="18" t="s">
        <v>3</v>
      </c>
      <c r="AE2" s="17" t="s">
        <v>4</v>
      </c>
      <c r="AF2" s="18" t="s">
        <v>3</v>
      </c>
      <c r="AG2" s="17" t="s">
        <v>4</v>
      </c>
      <c r="AH2" s="18" t="s">
        <v>3</v>
      </c>
      <c r="AI2" s="17" t="s">
        <v>4</v>
      </c>
    </row>
    <row r="3">
      <c r="A3" s="19"/>
      <c r="B3" s="20" t="s">
        <v>5</v>
      </c>
      <c r="C3" s="21"/>
      <c r="D3" s="22" t="s">
        <v>6</v>
      </c>
      <c r="E3" s="23"/>
      <c r="F3" s="20" t="s">
        <v>7</v>
      </c>
      <c r="G3" s="21"/>
      <c r="H3" s="20" t="s">
        <v>8</v>
      </c>
      <c r="I3" s="24"/>
      <c r="J3" s="24"/>
      <c r="K3" s="21"/>
      <c r="L3" s="20" t="s">
        <v>9</v>
      </c>
      <c r="M3" s="21"/>
      <c r="N3" s="20" t="s">
        <v>10</v>
      </c>
      <c r="O3" s="21"/>
      <c r="P3" s="20" t="s">
        <v>11</v>
      </c>
      <c r="Q3" s="21"/>
      <c r="R3" s="20" t="s">
        <v>12</v>
      </c>
      <c r="S3" s="21"/>
      <c r="T3" s="20" t="s">
        <v>13</v>
      </c>
      <c r="U3" s="21"/>
      <c r="V3" s="20" t="s">
        <v>14</v>
      </c>
      <c r="W3" s="21"/>
      <c r="X3" s="20" t="s">
        <v>15</v>
      </c>
      <c r="Y3" s="21"/>
      <c r="Z3" s="25" t="s">
        <v>13</v>
      </c>
      <c r="AA3" s="26"/>
      <c r="AB3" s="27" t="s">
        <v>14</v>
      </c>
      <c r="AC3" s="26"/>
      <c r="AD3" s="27" t="s">
        <v>15</v>
      </c>
      <c r="AE3" s="26"/>
      <c r="AF3" s="27" t="s">
        <v>16</v>
      </c>
      <c r="AG3" s="26"/>
      <c r="AH3" s="27" t="s">
        <v>17</v>
      </c>
      <c r="AI3" s="26"/>
    </row>
    <row r="4">
      <c r="A4" s="28" t="s">
        <v>18</v>
      </c>
      <c r="B4" s="29" t="str">
        <f t="shared" ref="B4:G4" si="1">#REF!</f>
        <v>#REF!</v>
      </c>
      <c r="C4" s="30" t="str">
        <f t="shared" si="1"/>
        <v>#REF!</v>
      </c>
      <c r="D4" s="31" t="str">
        <f t="shared" si="1"/>
        <v>#REF!</v>
      </c>
      <c r="E4" s="32" t="str">
        <f t="shared" si="1"/>
        <v>#REF!</v>
      </c>
      <c r="F4" s="29" t="str">
        <f t="shared" si="1"/>
        <v>#REF!</v>
      </c>
      <c r="G4" s="30" t="str">
        <f t="shared" si="1"/>
        <v>#REF!</v>
      </c>
      <c r="H4" s="33">
        <f>73*2.5*35*30.5</f>
        <v>194818.75</v>
      </c>
      <c r="I4" s="34">
        <f>H4/H4</f>
        <v>1</v>
      </c>
      <c r="J4" s="29" t="str">
        <f>'Загальний звіт'!D13</f>
        <v>#REF!</v>
      </c>
      <c r="K4" s="34" t="str">
        <f>J4/J4</f>
        <v>#REF!</v>
      </c>
      <c r="L4" s="29" t="str">
        <f t="shared" ref="L4:Y4" si="2">'Загальний звіт'!F13</f>
        <v>#REF!</v>
      </c>
      <c r="M4" s="34" t="str">
        <f t="shared" si="2"/>
        <v>#REF!</v>
      </c>
      <c r="N4" s="29" t="str">
        <f t="shared" si="2"/>
        <v>#REF!</v>
      </c>
      <c r="O4" s="34" t="str">
        <f t="shared" si="2"/>
        <v>#REF!</v>
      </c>
      <c r="P4" s="29" t="str">
        <f t="shared" si="2"/>
        <v>#REF!</v>
      </c>
      <c r="Q4" s="34" t="str">
        <f t="shared" si="2"/>
        <v>#REF!</v>
      </c>
      <c r="R4" s="29" t="str">
        <f t="shared" si="2"/>
        <v>#REF!</v>
      </c>
      <c r="S4" s="34" t="str">
        <f t="shared" si="2"/>
        <v>#REF!</v>
      </c>
      <c r="T4" s="29" t="str">
        <f t="shared" si="2"/>
        <v>#REF!</v>
      </c>
      <c r="U4" s="34" t="str">
        <f t="shared" si="2"/>
        <v>#REF!</v>
      </c>
      <c r="V4" s="29" t="str">
        <f t="shared" si="2"/>
        <v>#REF!</v>
      </c>
      <c r="W4" s="34" t="str">
        <f t="shared" si="2"/>
        <v>#REF!</v>
      </c>
      <c r="X4" s="29" t="str">
        <f t="shared" si="2"/>
        <v>#REF!</v>
      </c>
      <c r="Y4" s="34" t="str">
        <f t="shared" si="2"/>
        <v>#REF!</v>
      </c>
      <c r="Z4" s="35" t="str">
        <f t="shared" ref="Z4:AI4" si="3">'Загальний звіт'!N13</f>
        <v>#REF!</v>
      </c>
      <c r="AA4" s="35" t="str">
        <f t="shared" si="3"/>
        <v>#REF!</v>
      </c>
      <c r="AB4" s="35" t="str">
        <f t="shared" si="3"/>
        <v>#REF!</v>
      </c>
      <c r="AC4" s="35" t="str">
        <f t="shared" si="3"/>
        <v>#REF!</v>
      </c>
      <c r="AD4" s="35" t="str">
        <f t="shared" si="3"/>
        <v>#REF!</v>
      </c>
      <c r="AE4" s="35" t="str">
        <f t="shared" si="3"/>
        <v>#REF!</v>
      </c>
      <c r="AF4" s="35" t="str">
        <f t="shared" si="3"/>
        <v>#REF!</v>
      </c>
      <c r="AG4" s="35" t="str">
        <f t="shared" si="3"/>
        <v>#REF!</v>
      </c>
      <c r="AH4" s="35" t="str">
        <f t="shared" si="3"/>
        <v>#REF!</v>
      </c>
      <c r="AI4" s="35" t="str">
        <f t="shared" si="3"/>
        <v>#REF!</v>
      </c>
    </row>
    <row r="5">
      <c r="A5" s="36" t="s">
        <v>19</v>
      </c>
      <c r="B5" s="37" t="str">
        <f t="shared" ref="B5:G5" si="4">#REF!</f>
        <v>#REF!</v>
      </c>
      <c r="C5" s="38" t="str">
        <f t="shared" si="4"/>
        <v>#REF!</v>
      </c>
      <c r="D5" s="39" t="str">
        <f t="shared" si="4"/>
        <v>#REF!</v>
      </c>
      <c r="E5" s="40" t="str">
        <f t="shared" si="4"/>
        <v>#REF!</v>
      </c>
      <c r="F5" s="37" t="str">
        <f t="shared" si="4"/>
        <v>#REF!</v>
      </c>
      <c r="G5" s="38" t="str">
        <f t="shared" si="4"/>
        <v>#REF!</v>
      </c>
      <c r="H5" s="41">
        <v>15000.0</v>
      </c>
      <c r="I5" s="42">
        <f>H5/H4</f>
        <v>0.07699464246</v>
      </c>
      <c r="J5" s="37" t="str">
        <f>'Загальний звіт'!D18</f>
        <v>#REF!</v>
      </c>
      <c r="K5" s="43" t="str">
        <f>J5/J4</f>
        <v>#REF!</v>
      </c>
      <c r="L5" s="37" t="str">
        <f>'Загальний звіт'!F18</f>
        <v>#REF!</v>
      </c>
      <c r="M5" s="43" t="str">
        <f>L5/L4</f>
        <v>#REF!</v>
      </c>
      <c r="N5" s="37" t="str">
        <f>'Загальний звіт'!H18</f>
        <v>#REF!</v>
      </c>
      <c r="O5" s="43" t="str">
        <f>N5/N4</f>
        <v>#REF!</v>
      </c>
      <c r="P5" s="37" t="str">
        <f>'Загальний звіт'!J18</f>
        <v>#REF!</v>
      </c>
      <c r="Q5" s="43" t="str">
        <f>P5/P4</f>
        <v>#REF!</v>
      </c>
      <c r="R5" s="37" t="str">
        <f>'Загальний звіт'!L18</f>
        <v>#REF!</v>
      </c>
      <c r="S5" s="43" t="str">
        <f>R5/R4</f>
        <v>#REF!</v>
      </c>
      <c r="T5" s="37" t="str">
        <f>'Загальний звіт'!N18</f>
        <v>#REF!</v>
      </c>
      <c r="U5" s="43" t="str">
        <f>T5/T4</f>
        <v>#REF!</v>
      </c>
      <c r="V5" s="37" t="str">
        <f>'Загальний звіт'!P18</f>
        <v>#REF!</v>
      </c>
      <c r="W5" s="43" t="str">
        <f>V5/V4</f>
        <v>#REF!</v>
      </c>
      <c r="X5" s="37" t="str">
        <f>'Загальний звіт'!R18</f>
        <v>#REF!</v>
      </c>
      <c r="Y5" s="43" t="str">
        <f>X5/X4</f>
        <v>#REF!</v>
      </c>
      <c r="Z5" s="35" t="str">
        <f t="shared" ref="Z5:AI5" si="5">'Загальний звіт'!N18</f>
        <v>#REF!</v>
      </c>
      <c r="AA5" s="35" t="str">
        <f t="shared" si="5"/>
        <v>#REF!</v>
      </c>
      <c r="AB5" s="35" t="str">
        <f t="shared" si="5"/>
        <v>#REF!</v>
      </c>
      <c r="AC5" s="35" t="str">
        <f t="shared" si="5"/>
        <v>#REF!</v>
      </c>
      <c r="AD5" s="35" t="str">
        <f t="shared" si="5"/>
        <v>#REF!</v>
      </c>
      <c r="AE5" s="35" t="str">
        <f t="shared" si="5"/>
        <v>#REF!</v>
      </c>
      <c r="AF5" s="35" t="str">
        <f t="shared" si="5"/>
        <v>#REF!</v>
      </c>
      <c r="AG5" s="35" t="str">
        <f t="shared" si="5"/>
        <v>#REF!</v>
      </c>
      <c r="AH5" s="35" t="str">
        <f t="shared" si="5"/>
        <v>#REF!</v>
      </c>
      <c r="AI5" s="35" t="str">
        <f t="shared" si="5"/>
        <v>#REF!</v>
      </c>
    </row>
    <row r="6">
      <c r="A6" s="44" t="s">
        <v>20</v>
      </c>
      <c r="B6" s="45" t="str">
        <f t="shared" ref="B6:H6" si="6">B4-B5</f>
        <v>#REF!</v>
      </c>
      <c r="C6" s="46" t="str">
        <f t="shared" si="6"/>
        <v>#REF!</v>
      </c>
      <c r="D6" s="47" t="str">
        <f t="shared" si="6"/>
        <v>#REF!</v>
      </c>
      <c r="E6" s="48" t="str">
        <f t="shared" si="6"/>
        <v>#REF!</v>
      </c>
      <c r="F6" s="45" t="str">
        <f t="shared" si="6"/>
        <v>#REF!</v>
      </c>
      <c r="G6" s="46" t="str">
        <f t="shared" si="6"/>
        <v>#REF!</v>
      </c>
      <c r="H6" s="49">
        <f t="shared" si="6"/>
        <v>179818.75</v>
      </c>
      <c r="I6" s="50">
        <f>H6/H4</f>
        <v>0.9230053575</v>
      </c>
      <c r="J6" s="45" t="str">
        <f>J4-J5</f>
        <v>#REF!</v>
      </c>
      <c r="K6" s="50" t="str">
        <f>J6/J4</f>
        <v>#REF!</v>
      </c>
      <c r="L6" s="45" t="str">
        <f>L4-L5</f>
        <v>#REF!</v>
      </c>
      <c r="M6" s="50" t="str">
        <f>L6/L4</f>
        <v>#REF!</v>
      </c>
      <c r="N6" s="45" t="str">
        <f>N4-N5</f>
        <v>#REF!</v>
      </c>
      <c r="O6" s="50" t="str">
        <f>N6/N4</f>
        <v>#REF!</v>
      </c>
      <c r="P6" s="45" t="str">
        <f>P4-P5</f>
        <v>#REF!</v>
      </c>
      <c r="Q6" s="50" t="str">
        <f>P6/P4</f>
        <v>#REF!</v>
      </c>
      <c r="R6" s="45" t="str">
        <f>R4-R5</f>
        <v>#REF!</v>
      </c>
      <c r="S6" s="50" t="str">
        <f>R6/R4</f>
        <v>#REF!</v>
      </c>
      <c r="T6" s="45" t="str">
        <f>T4-T5</f>
        <v>#REF!</v>
      </c>
      <c r="U6" s="50" t="str">
        <f>T6/T4</f>
        <v>#REF!</v>
      </c>
      <c r="V6" s="45" t="str">
        <f>V4-V5</f>
        <v>#REF!</v>
      </c>
      <c r="W6" s="50" t="str">
        <f>V6/V4</f>
        <v>#REF!</v>
      </c>
      <c r="X6" s="45" t="str">
        <f>X4-X5</f>
        <v>#REF!</v>
      </c>
      <c r="Y6" s="50" t="str">
        <f>X6/X4</f>
        <v>#REF!</v>
      </c>
      <c r="Z6" s="35" t="str">
        <f t="shared" ref="Z6:AI6" si="7">Z4-Z5</f>
        <v>#REF!</v>
      </c>
      <c r="AA6" s="35" t="str">
        <f t="shared" si="7"/>
        <v>#REF!</v>
      </c>
      <c r="AB6" s="35" t="str">
        <f t="shared" si="7"/>
        <v>#REF!</v>
      </c>
      <c r="AC6" s="35" t="str">
        <f t="shared" si="7"/>
        <v>#REF!</v>
      </c>
      <c r="AD6" s="35" t="str">
        <f t="shared" si="7"/>
        <v>#REF!</v>
      </c>
      <c r="AE6" s="35" t="str">
        <f t="shared" si="7"/>
        <v>#REF!</v>
      </c>
      <c r="AF6" s="35" t="str">
        <f t="shared" si="7"/>
        <v>#REF!</v>
      </c>
      <c r="AG6" s="35" t="str">
        <f t="shared" si="7"/>
        <v>#REF!</v>
      </c>
      <c r="AH6" s="35" t="str">
        <f t="shared" si="7"/>
        <v>#REF!</v>
      </c>
      <c r="AI6" s="35" t="str">
        <f t="shared" si="7"/>
        <v>#REF!</v>
      </c>
    </row>
    <row r="7">
      <c r="A7" s="51" t="s">
        <v>21</v>
      </c>
      <c r="B7" s="37" t="str">
        <f t="shared" ref="B7:G7" si="8">#REF!</f>
        <v>#REF!</v>
      </c>
      <c r="C7" s="38" t="str">
        <f t="shared" si="8"/>
        <v>#REF!</v>
      </c>
      <c r="D7" s="39" t="str">
        <f t="shared" si="8"/>
        <v>#REF!</v>
      </c>
      <c r="E7" s="40" t="str">
        <f t="shared" si="8"/>
        <v>#REF!</v>
      </c>
      <c r="F7" s="37" t="str">
        <f t="shared" si="8"/>
        <v>#REF!</v>
      </c>
      <c r="G7" s="38" t="str">
        <f t="shared" si="8"/>
        <v>#REF!</v>
      </c>
      <c r="H7" s="52">
        <f>H6*0.25</f>
        <v>44954.6875</v>
      </c>
      <c r="I7" s="42">
        <f>H7/H6</f>
        <v>0.25</v>
      </c>
      <c r="J7" s="37" t="str">
        <f>'Загальний звіт'!D31</f>
        <v>#REF!</v>
      </c>
      <c r="K7" s="43" t="str">
        <f>J7/J6</f>
        <v>#REF!</v>
      </c>
      <c r="L7" s="37" t="str">
        <f>'Загальний звіт'!F31</f>
        <v>#REF!</v>
      </c>
      <c r="M7" s="43" t="str">
        <f>L7/L6</f>
        <v>#REF!</v>
      </c>
      <c r="N7" s="37" t="str">
        <f>'Загальний звіт'!H31</f>
        <v>#REF!</v>
      </c>
      <c r="O7" s="43" t="str">
        <f>N7/N6</f>
        <v>#REF!</v>
      </c>
      <c r="P7" s="37" t="str">
        <f>'Загальний звіт'!J31</f>
        <v>#REF!</v>
      </c>
      <c r="Q7" s="43" t="str">
        <f>P7/P6</f>
        <v>#REF!</v>
      </c>
      <c r="R7" s="37" t="str">
        <f>'Загальний звіт'!L31</f>
        <v>#REF!</v>
      </c>
      <c r="S7" s="43" t="str">
        <f>R7/R4</f>
        <v>#REF!</v>
      </c>
      <c r="T7" s="37" t="str">
        <f>'Загальний звіт'!N31</f>
        <v>#REF!</v>
      </c>
      <c r="U7" s="43" t="str">
        <f>T7/T4</f>
        <v>#REF!</v>
      </c>
      <c r="V7" s="37" t="str">
        <f>'Загальний звіт'!P31</f>
        <v>#REF!</v>
      </c>
      <c r="W7" s="43" t="str">
        <f>V7/V4</f>
        <v>#REF!</v>
      </c>
      <c r="X7" s="37" t="str">
        <f>'Загальний звіт'!R31</f>
        <v>#REF!</v>
      </c>
      <c r="Y7" s="43" t="str">
        <f>X7/X4</f>
        <v>#REF!</v>
      </c>
      <c r="Z7" s="35" t="str">
        <f t="shared" ref="Z7:AI7" si="9">'Загальний звіт'!N31</f>
        <v>#REF!</v>
      </c>
      <c r="AA7" s="35" t="str">
        <f t="shared" si="9"/>
        <v>#REF!</v>
      </c>
      <c r="AB7" s="35" t="str">
        <f t="shared" si="9"/>
        <v>#REF!</v>
      </c>
      <c r="AC7" s="35" t="str">
        <f t="shared" si="9"/>
        <v>#REF!</v>
      </c>
      <c r="AD7" s="35" t="str">
        <f t="shared" si="9"/>
        <v>#REF!</v>
      </c>
      <c r="AE7" s="35" t="str">
        <f t="shared" si="9"/>
        <v>#REF!</v>
      </c>
      <c r="AF7" s="35" t="str">
        <f t="shared" si="9"/>
        <v>#REF!</v>
      </c>
      <c r="AG7" s="35" t="str">
        <f t="shared" si="9"/>
        <v>#REF!</v>
      </c>
      <c r="AH7" s="35" t="str">
        <f t="shared" si="9"/>
        <v>#REF!</v>
      </c>
      <c r="AI7" s="35" t="str">
        <f t="shared" si="9"/>
        <v>#REF!</v>
      </c>
    </row>
    <row r="8">
      <c r="A8" s="44" t="s">
        <v>22</v>
      </c>
      <c r="B8" s="45" t="str">
        <f t="shared" ref="B8:H8" si="10">B6-B7</f>
        <v>#REF!</v>
      </c>
      <c r="C8" s="46" t="str">
        <f t="shared" si="10"/>
        <v>#REF!</v>
      </c>
      <c r="D8" s="47" t="str">
        <f t="shared" si="10"/>
        <v>#REF!</v>
      </c>
      <c r="E8" s="48" t="str">
        <f t="shared" si="10"/>
        <v>#REF!</v>
      </c>
      <c r="F8" s="45" t="str">
        <f t="shared" si="10"/>
        <v>#REF!</v>
      </c>
      <c r="G8" s="46" t="str">
        <f t="shared" si="10"/>
        <v>#REF!</v>
      </c>
      <c r="H8" s="49">
        <f t="shared" si="10"/>
        <v>134864.0625</v>
      </c>
      <c r="I8" s="50">
        <f>H8/H6</f>
        <v>0.75</v>
      </c>
      <c r="J8" s="45" t="str">
        <f>J6-J7</f>
        <v>#REF!</v>
      </c>
      <c r="K8" s="50" t="str">
        <f>J8/J6</f>
        <v>#REF!</v>
      </c>
      <c r="L8" s="45" t="str">
        <f>L6-L7</f>
        <v>#REF!</v>
      </c>
      <c r="M8" s="50" t="str">
        <f>L8/L6</f>
        <v>#REF!</v>
      </c>
      <c r="N8" s="45" t="str">
        <f>N6-N7</f>
        <v>#REF!</v>
      </c>
      <c r="O8" s="50" t="str">
        <f>N8/N6</f>
        <v>#REF!</v>
      </c>
      <c r="P8" s="45" t="str">
        <f>P6-P7</f>
        <v>#REF!</v>
      </c>
      <c r="Q8" s="50" t="str">
        <f>P8/P6</f>
        <v>#REF!</v>
      </c>
      <c r="R8" s="45" t="str">
        <f>R6-R7</f>
        <v>#REF!</v>
      </c>
      <c r="S8" s="50" t="str">
        <f>R8/R6</f>
        <v>#REF!</v>
      </c>
      <c r="T8" s="45" t="str">
        <f>T6-T7</f>
        <v>#REF!</v>
      </c>
      <c r="U8" s="50" t="str">
        <f>T8/T6</f>
        <v>#REF!</v>
      </c>
      <c r="V8" s="45" t="str">
        <f>V6-V7</f>
        <v>#REF!</v>
      </c>
      <c r="W8" s="50" t="str">
        <f>V8/V6</f>
        <v>#REF!</v>
      </c>
      <c r="X8" s="45" t="str">
        <f>X6-X7</f>
        <v>#REF!</v>
      </c>
      <c r="Y8" s="50" t="str">
        <f>X8/X6</f>
        <v>#REF!</v>
      </c>
      <c r="Z8" s="35" t="str">
        <f t="shared" ref="Z8:AI8" si="11">Z6-Z7</f>
        <v>#REF!</v>
      </c>
      <c r="AA8" s="35" t="str">
        <f t="shared" si="11"/>
        <v>#REF!</v>
      </c>
      <c r="AB8" s="35" t="str">
        <f t="shared" si="11"/>
        <v>#REF!</v>
      </c>
      <c r="AC8" s="35" t="str">
        <f t="shared" si="11"/>
        <v>#REF!</v>
      </c>
      <c r="AD8" s="35" t="str">
        <f t="shared" si="11"/>
        <v>#REF!</v>
      </c>
      <c r="AE8" s="35" t="str">
        <f t="shared" si="11"/>
        <v>#REF!</v>
      </c>
      <c r="AF8" s="35" t="str">
        <f t="shared" si="11"/>
        <v>#REF!</v>
      </c>
      <c r="AG8" s="35" t="str">
        <f t="shared" si="11"/>
        <v>#REF!</v>
      </c>
      <c r="AH8" s="35" t="str">
        <f t="shared" si="11"/>
        <v>#REF!</v>
      </c>
      <c r="AI8" s="35" t="str">
        <f t="shared" si="11"/>
        <v>#REF!</v>
      </c>
    </row>
    <row r="9">
      <c r="A9" s="53" t="s">
        <v>23</v>
      </c>
      <c r="B9" s="37" t="str">
        <f t="shared" ref="B9:G9" si="12">#REF!</f>
        <v>#REF!</v>
      </c>
      <c r="C9" s="38" t="str">
        <f t="shared" si="12"/>
        <v>#REF!</v>
      </c>
      <c r="D9" s="39" t="str">
        <f t="shared" si="12"/>
        <v>#REF!</v>
      </c>
      <c r="E9" s="40" t="str">
        <f t="shared" si="12"/>
        <v>#REF!</v>
      </c>
      <c r="F9" s="37" t="str">
        <f t="shared" si="12"/>
        <v>#REF!</v>
      </c>
      <c r="G9" s="38" t="str">
        <f t="shared" si="12"/>
        <v>#REF!</v>
      </c>
      <c r="H9" s="52">
        <f>H6*0.35</f>
        <v>62936.5625</v>
      </c>
      <c r="I9" s="42">
        <f>H9/H6</f>
        <v>0.35</v>
      </c>
      <c r="J9" s="37" t="str">
        <f t="shared" ref="J9:J12" si="15">'Загальний звіт'!D33</f>
        <v>#REF!</v>
      </c>
      <c r="K9" s="43" t="str">
        <f>J9/J6</f>
        <v>#REF!</v>
      </c>
      <c r="L9" s="37" t="str">
        <f t="shared" ref="L9:L12" si="16">'Загальний звіт'!F33</f>
        <v>#REF!</v>
      </c>
      <c r="M9" s="43" t="str">
        <f>L9/L6</f>
        <v>#REF!</v>
      </c>
      <c r="N9" s="37" t="str">
        <f t="shared" ref="N9:N12" si="17">'Загальний звіт'!H33</f>
        <v>#REF!</v>
      </c>
      <c r="O9" s="43" t="str">
        <f>N9/N6</f>
        <v>#REF!</v>
      </c>
      <c r="P9" s="37" t="str">
        <f t="shared" ref="P9:P12" si="18">'Загальний звіт'!J33</f>
        <v>#REF!</v>
      </c>
      <c r="Q9" s="43" t="str">
        <f>P9/P6</f>
        <v>#REF!</v>
      </c>
      <c r="R9" s="37" t="str">
        <f t="shared" ref="R9:R12" si="19">'Загальний звіт'!L33</f>
        <v>#REF!</v>
      </c>
      <c r="S9" s="43" t="str">
        <f>R9/R6</f>
        <v>#REF!</v>
      </c>
      <c r="T9" s="37" t="str">
        <f t="shared" ref="T9:T12" si="20">'Загальний звіт'!N33</f>
        <v>#REF!</v>
      </c>
      <c r="U9" s="43" t="str">
        <f>T9/T6</f>
        <v>#REF!</v>
      </c>
      <c r="V9" s="37" t="str">
        <f t="shared" ref="V9:V12" si="21">'Загальний звіт'!P33</f>
        <v>#REF!</v>
      </c>
      <c r="W9" s="43" t="str">
        <f>V9/V4</f>
        <v>#REF!</v>
      </c>
      <c r="X9" s="37" t="str">
        <f t="shared" ref="X9:X12" si="22">'Загальний звіт'!R33</f>
        <v>#REF!</v>
      </c>
      <c r="Y9" s="43" t="str">
        <f>X9/X4</f>
        <v>#REF!</v>
      </c>
      <c r="Z9" s="35" t="str">
        <f t="shared" ref="Z9:AI9" si="13">'Загальний звіт'!N33</f>
        <v>#REF!</v>
      </c>
      <c r="AA9" s="35" t="str">
        <f t="shared" si="13"/>
        <v>#REF!</v>
      </c>
      <c r="AB9" s="35" t="str">
        <f t="shared" si="13"/>
        <v>#REF!</v>
      </c>
      <c r="AC9" s="35" t="str">
        <f t="shared" si="13"/>
        <v>#REF!</v>
      </c>
      <c r="AD9" s="35" t="str">
        <f t="shared" si="13"/>
        <v>#REF!</v>
      </c>
      <c r="AE9" s="35" t="str">
        <f t="shared" si="13"/>
        <v>#REF!</v>
      </c>
      <c r="AF9" s="35" t="str">
        <f t="shared" si="13"/>
        <v>#REF!</v>
      </c>
      <c r="AG9" s="35" t="str">
        <f t="shared" si="13"/>
        <v>#REF!</v>
      </c>
      <c r="AH9" s="35" t="str">
        <f t="shared" si="13"/>
        <v>#REF!</v>
      </c>
      <c r="AI9" s="35" t="str">
        <f t="shared" si="13"/>
        <v>#REF!</v>
      </c>
    </row>
    <row r="10">
      <c r="A10" s="54" t="s">
        <v>24</v>
      </c>
      <c r="B10" s="37" t="str">
        <f t="shared" ref="B10:G10" si="14">#REF!</f>
        <v>#REF!</v>
      </c>
      <c r="C10" s="38" t="str">
        <f t="shared" si="14"/>
        <v>#REF!</v>
      </c>
      <c r="D10" s="39" t="str">
        <f t="shared" si="14"/>
        <v>#REF!</v>
      </c>
      <c r="E10" s="40" t="str">
        <f t="shared" si="14"/>
        <v>#REF!</v>
      </c>
      <c r="F10" s="37" t="str">
        <f t="shared" si="14"/>
        <v>#REF!</v>
      </c>
      <c r="G10" s="38" t="str">
        <f t="shared" si="14"/>
        <v>#REF!</v>
      </c>
      <c r="H10" s="41">
        <v>6000.0</v>
      </c>
      <c r="I10" s="42">
        <f>H10/H6</f>
        <v>0.03336693198</v>
      </c>
      <c r="J10" s="37" t="str">
        <f t="shared" si="15"/>
        <v>#REF!</v>
      </c>
      <c r="K10" s="43" t="str">
        <f>J10/J6</f>
        <v>#REF!</v>
      </c>
      <c r="L10" s="37" t="str">
        <f t="shared" si="16"/>
        <v>#REF!</v>
      </c>
      <c r="M10" s="43" t="str">
        <f>L10/L6</f>
        <v>#REF!</v>
      </c>
      <c r="N10" s="37" t="str">
        <f t="shared" si="17"/>
        <v>#REF!</v>
      </c>
      <c r="O10" s="43" t="str">
        <f>N10/N6</f>
        <v>#REF!</v>
      </c>
      <c r="P10" s="37" t="str">
        <f t="shared" si="18"/>
        <v>#REF!</v>
      </c>
      <c r="Q10" s="43" t="str">
        <f>P10/P6</f>
        <v>#REF!</v>
      </c>
      <c r="R10" s="37" t="str">
        <f t="shared" si="19"/>
        <v>#REF!</v>
      </c>
      <c r="S10" s="43" t="str">
        <f>R10/R6</f>
        <v>#REF!</v>
      </c>
      <c r="T10" s="37" t="str">
        <f t="shared" si="20"/>
        <v>#REF!</v>
      </c>
      <c r="U10" s="43" t="str">
        <f>T10/T6</f>
        <v>#REF!</v>
      </c>
      <c r="V10" s="37" t="str">
        <f t="shared" si="21"/>
        <v>#REF!</v>
      </c>
      <c r="W10" s="43" t="str">
        <f>V10/V4</f>
        <v>#REF!</v>
      </c>
      <c r="X10" s="37" t="str">
        <f t="shared" si="22"/>
        <v>#REF!</v>
      </c>
      <c r="Y10" s="43" t="str">
        <f>X10/X4</f>
        <v>#REF!</v>
      </c>
      <c r="Z10" s="35" t="str">
        <f t="shared" ref="Z10:AI10" si="23">'Загальний звіт'!N34</f>
        <v>#REF!</v>
      </c>
      <c r="AA10" s="35" t="str">
        <f t="shared" si="23"/>
        <v>#REF!</v>
      </c>
      <c r="AB10" s="35" t="str">
        <f t="shared" si="23"/>
        <v>#REF!</v>
      </c>
      <c r="AC10" s="35" t="str">
        <f t="shared" si="23"/>
        <v>#REF!</v>
      </c>
      <c r="AD10" s="35" t="str">
        <f t="shared" si="23"/>
        <v>#REF!</v>
      </c>
      <c r="AE10" s="35" t="str">
        <f t="shared" si="23"/>
        <v>#REF!</v>
      </c>
      <c r="AF10" s="35" t="str">
        <f t="shared" si="23"/>
        <v>#REF!</v>
      </c>
      <c r="AG10" s="35" t="str">
        <f t="shared" si="23"/>
        <v>#REF!</v>
      </c>
      <c r="AH10" s="35" t="str">
        <f t="shared" si="23"/>
        <v>#REF!</v>
      </c>
      <c r="AI10" s="35" t="str">
        <f t="shared" si="23"/>
        <v>#REF!</v>
      </c>
    </row>
    <row r="11">
      <c r="A11" s="54" t="s">
        <v>25</v>
      </c>
      <c r="B11" s="37" t="str">
        <f t="shared" ref="B11:G11" si="24">#REF!</f>
        <v>#REF!</v>
      </c>
      <c r="C11" s="38" t="str">
        <f t="shared" si="24"/>
        <v>#REF!</v>
      </c>
      <c r="D11" s="39" t="str">
        <f t="shared" si="24"/>
        <v>#REF!</v>
      </c>
      <c r="E11" s="40" t="str">
        <f t="shared" si="24"/>
        <v>#REF!</v>
      </c>
      <c r="F11" s="37" t="str">
        <f t="shared" si="24"/>
        <v>#REF!</v>
      </c>
      <c r="G11" s="38" t="str">
        <f t="shared" si="24"/>
        <v>#REF!</v>
      </c>
      <c r="H11" s="41">
        <v>1000.0</v>
      </c>
      <c r="I11" s="42">
        <f>H11/H6</f>
        <v>0.00556115533</v>
      </c>
      <c r="J11" s="37" t="str">
        <f t="shared" si="15"/>
        <v>#REF!</v>
      </c>
      <c r="K11" s="43" t="str">
        <f>J11/J6</f>
        <v>#REF!</v>
      </c>
      <c r="L11" s="37" t="str">
        <f t="shared" si="16"/>
        <v>#REF!</v>
      </c>
      <c r="M11" s="43" t="str">
        <f>L11/L6</f>
        <v>#REF!</v>
      </c>
      <c r="N11" s="37" t="str">
        <f t="shared" si="17"/>
        <v>#REF!</v>
      </c>
      <c r="O11" s="43" t="str">
        <f>N11/N6</f>
        <v>#REF!</v>
      </c>
      <c r="P11" s="37" t="str">
        <f t="shared" si="18"/>
        <v>#REF!</v>
      </c>
      <c r="Q11" s="43" t="str">
        <f>P11/P6</f>
        <v>#REF!</v>
      </c>
      <c r="R11" s="37" t="str">
        <f t="shared" si="19"/>
        <v>#REF!</v>
      </c>
      <c r="S11" s="43" t="str">
        <f>R11/R6</f>
        <v>#REF!</v>
      </c>
      <c r="T11" s="37" t="str">
        <f t="shared" si="20"/>
        <v>#REF!</v>
      </c>
      <c r="U11" s="43" t="str">
        <f>T11/T6</f>
        <v>#REF!</v>
      </c>
      <c r="V11" s="37" t="str">
        <f t="shared" si="21"/>
        <v>#REF!</v>
      </c>
      <c r="W11" s="43" t="str">
        <f>V11/V4</f>
        <v>#REF!</v>
      </c>
      <c r="X11" s="37" t="str">
        <f t="shared" si="22"/>
        <v>#REF!</v>
      </c>
      <c r="Y11" s="43" t="str">
        <f>X11/X4</f>
        <v>#REF!</v>
      </c>
      <c r="Z11" s="35" t="str">
        <f t="shared" ref="Z11:AI11" si="25">'Загальний звіт'!N35</f>
        <v>#REF!</v>
      </c>
      <c r="AA11" s="35" t="str">
        <f t="shared" si="25"/>
        <v>#REF!</v>
      </c>
      <c r="AB11" s="35" t="str">
        <f t="shared" si="25"/>
        <v>#REF!</v>
      </c>
      <c r="AC11" s="35" t="str">
        <f t="shared" si="25"/>
        <v>#REF!</v>
      </c>
      <c r="AD11" s="35" t="str">
        <f t="shared" si="25"/>
        <v>#REF!</v>
      </c>
      <c r="AE11" s="35" t="str">
        <f t="shared" si="25"/>
        <v>#REF!</v>
      </c>
      <c r="AF11" s="35" t="str">
        <f t="shared" si="25"/>
        <v>#REF!</v>
      </c>
      <c r="AG11" s="35" t="str">
        <f t="shared" si="25"/>
        <v>#REF!</v>
      </c>
      <c r="AH11" s="35" t="str">
        <f t="shared" si="25"/>
        <v>#REF!</v>
      </c>
      <c r="AI11" s="35" t="str">
        <f t="shared" si="25"/>
        <v>#REF!</v>
      </c>
    </row>
    <row r="12">
      <c r="A12" s="54" t="s">
        <v>26</v>
      </c>
      <c r="B12" s="37"/>
      <c r="C12" s="38"/>
      <c r="D12" s="39"/>
      <c r="E12" s="40"/>
      <c r="F12" s="37"/>
      <c r="G12" s="38"/>
      <c r="H12" s="52">
        <f>H6*0.02</f>
        <v>3596.375</v>
      </c>
      <c r="I12" s="42">
        <f>H12/H6</f>
        <v>0.02</v>
      </c>
      <c r="J12" s="37" t="str">
        <f t="shared" si="15"/>
        <v>#REF!</v>
      </c>
      <c r="K12" s="43" t="str">
        <f>J12/J6</f>
        <v>#REF!</v>
      </c>
      <c r="L12" s="37" t="str">
        <f t="shared" si="16"/>
        <v>#REF!</v>
      </c>
      <c r="M12" s="43" t="str">
        <f>L12/L6</f>
        <v>#REF!</v>
      </c>
      <c r="N12" s="37" t="str">
        <f t="shared" si="17"/>
        <v>#REF!</v>
      </c>
      <c r="O12" s="43" t="str">
        <f>N12/N6</f>
        <v>#REF!</v>
      </c>
      <c r="P12" s="37" t="str">
        <f t="shared" si="18"/>
        <v>#REF!</v>
      </c>
      <c r="Q12" s="43" t="str">
        <f>P12/P6</f>
        <v>#REF!</v>
      </c>
      <c r="R12" s="37" t="str">
        <f t="shared" si="19"/>
        <v>#REF!</v>
      </c>
      <c r="S12" s="43" t="str">
        <f>R12/R6</f>
        <v>#REF!</v>
      </c>
      <c r="T12" s="37" t="str">
        <f t="shared" si="20"/>
        <v>#REF!</v>
      </c>
      <c r="U12" s="43" t="str">
        <f>T12/T6</f>
        <v>#REF!</v>
      </c>
      <c r="V12" s="37" t="str">
        <f t="shared" si="21"/>
        <v>#REF!</v>
      </c>
      <c r="W12" s="43" t="str">
        <f>V12/V4</f>
        <v>#REF!</v>
      </c>
      <c r="X12" s="37" t="str">
        <f t="shared" si="22"/>
        <v>#REF!</v>
      </c>
      <c r="Y12" s="43" t="str">
        <f>X12/X4</f>
        <v>#REF!</v>
      </c>
    </row>
    <row r="13">
      <c r="A13" s="54" t="s">
        <v>27</v>
      </c>
      <c r="B13" s="37"/>
      <c r="C13" s="38"/>
      <c r="D13" s="39"/>
      <c r="E13" s="40"/>
      <c r="F13" s="37"/>
      <c r="G13" s="38"/>
      <c r="H13" s="52">
        <f>H6*0.05</f>
        <v>8990.9375</v>
      </c>
      <c r="I13" s="42">
        <f>H13/H6</f>
        <v>0.05</v>
      </c>
      <c r="J13" s="37"/>
      <c r="K13" s="43" t="str">
        <f>J13/J6</f>
        <v>#REF!</v>
      </c>
      <c r="L13" s="37"/>
      <c r="M13" s="43" t="str">
        <f>L13/L6</f>
        <v>#REF!</v>
      </c>
      <c r="N13" s="37"/>
      <c r="O13" s="43" t="str">
        <f>N13/N6</f>
        <v>#REF!</v>
      </c>
      <c r="P13" s="37"/>
      <c r="Q13" s="43" t="str">
        <f>P13/P6</f>
        <v>#REF!</v>
      </c>
      <c r="R13" s="37"/>
      <c r="S13" s="43" t="str">
        <f>R13/R6</f>
        <v>#REF!</v>
      </c>
      <c r="T13" s="37"/>
      <c r="U13" s="43" t="str">
        <f>T13/T6</f>
        <v>#REF!</v>
      </c>
      <c r="V13" s="37"/>
      <c r="W13" s="43"/>
      <c r="X13" s="37"/>
      <c r="Y13" s="43"/>
    </row>
    <row r="14">
      <c r="A14" s="54" t="s">
        <v>28</v>
      </c>
      <c r="B14" s="37" t="str">
        <f t="shared" ref="B14:G14" si="26">#REF!+#REF!</f>
        <v>#REF!</v>
      </c>
      <c r="C14" s="38" t="str">
        <f t="shared" si="26"/>
        <v>#REF!</v>
      </c>
      <c r="D14" s="39" t="str">
        <f t="shared" si="26"/>
        <v>#REF!</v>
      </c>
      <c r="E14" s="40" t="str">
        <f t="shared" si="26"/>
        <v>#REF!</v>
      </c>
      <c r="F14" s="37" t="str">
        <f t="shared" si="26"/>
        <v>#REF!</v>
      </c>
      <c r="G14" s="38" t="str">
        <f t="shared" si="26"/>
        <v>#REF!</v>
      </c>
      <c r="H14" s="52">
        <f>H6*0.05</f>
        <v>8990.9375</v>
      </c>
      <c r="I14" s="42">
        <f>H14/H6</f>
        <v>0.05</v>
      </c>
      <c r="J14" s="37" t="str">
        <f>'Загальний звіт'!D37</f>
        <v>#REF!</v>
      </c>
      <c r="K14" s="43" t="str">
        <f>J14/J6</f>
        <v>#REF!</v>
      </c>
      <c r="L14" s="37" t="str">
        <f>'Загальний звіт'!F37</f>
        <v>#REF!</v>
      </c>
      <c r="M14" s="43" t="str">
        <f>L14/L6</f>
        <v>#REF!</v>
      </c>
      <c r="N14" s="37" t="str">
        <f>'Загальний звіт'!H37</f>
        <v>#REF!</v>
      </c>
      <c r="O14" s="43" t="str">
        <f>N14/N6</f>
        <v>#REF!</v>
      </c>
      <c r="P14" s="37" t="str">
        <f>'Загальний звіт'!J37</f>
        <v>#REF!</v>
      </c>
      <c r="Q14" s="43" t="str">
        <f>P14/P6</f>
        <v>#REF!</v>
      </c>
      <c r="R14" s="37" t="str">
        <f>'Загальний звіт'!L37</f>
        <v>#REF!</v>
      </c>
      <c r="S14" s="43" t="str">
        <f>R14/R6</f>
        <v>#REF!</v>
      </c>
      <c r="T14" s="37" t="str">
        <f>'Загальний звіт'!N37</f>
        <v>#REF!</v>
      </c>
      <c r="U14" s="43" t="str">
        <f>T14/T6</f>
        <v>#REF!</v>
      </c>
      <c r="V14" s="37" t="str">
        <f>'Загальний звіт'!P37</f>
        <v>#REF!</v>
      </c>
      <c r="W14" s="43" t="str">
        <f>V14/V4</f>
        <v>#REF!</v>
      </c>
      <c r="X14" s="37" t="str">
        <f>'Загальний звіт'!R37</f>
        <v>#REF!</v>
      </c>
      <c r="Y14" s="43" t="str">
        <f>X14/X4</f>
        <v>#REF!</v>
      </c>
      <c r="Z14" s="35" t="str">
        <f t="shared" ref="Z14:AI14" si="27">'Загальний звіт'!N36+'Загальний звіт'!N37</f>
        <v>#REF!</v>
      </c>
      <c r="AA14" s="35" t="str">
        <f t="shared" si="27"/>
        <v>#REF!</v>
      </c>
      <c r="AB14" s="35" t="str">
        <f t="shared" si="27"/>
        <v>#REF!</v>
      </c>
      <c r="AC14" s="35" t="str">
        <f t="shared" si="27"/>
        <v>#REF!</v>
      </c>
      <c r="AD14" s="35" t="str">
        <f t="shared" si="27"/>
        <v>#REF!</v>
      </c>
      <c r="AE14" s="35" t="str">
        <f t="shared" si="27"/>
        <v>#REF!</v>
      </c>
      <c r="AF14" s="35" t="str">
        <f t="shared" si="27"/>
        <v>#REF!</v>
      </c>
      <c r="AG14" s="35" t="str">
        <f t="shared" si="27"/>
        <v>#REF!</v>
      </c>
      <c r="AH14" s="35" t="str">
        <f t="shared" si="27"/>
        <v>#REF!</v>
      </c>
      <c r="AI14" s="35" t="str">
        <f t="shared" si="27"/>
        <v>#REF!</v>
      </c>
    </row>
    <row r="15">
      <c r="A15" s="44" t="s">
        <v>29</v>
      </c>
      <c r="B15" s="45" t="str">
        <f t="shared" ref="B15:G15" si="28">B9+B10+B11+B14</f>
        <v>#REF!</v>
      </c>
      <c r="C15" s="46" t="str">
        <f t="shared" si="28"/>
        <v>#REF!</v>
      </c>
      <c r="D15" s="47" t="str">
        <f t="shared" si="28"/>
        <v>#REF!</v>
      </c>
      <c r="E15" s="48" t="str">
        <f t="shared" si="28"/>
        <v>#REF!</v>
      </c>
      <c r="F15" s="45" t="str">
        <f t="shared" si="28"/>
        <v>#REF!</v>
      </c>
      <c r="G15" s="46" t="str">
        <f t="shared" si="28"/>
        <v>#REF!</v>
      </c>
      <c r="H15" s="49">
        <f>H9+H10+H11+H12+H13+H14</f>
        <v>91514.8125</v>
      </c>
      <c r="I15" s="50">
        <f>H15/H4</f>
        <v>0.4697433512</v>
      </c>
      <c r="J15" s="45" t="str">
        <f>J9+J10+J11+J12+J13+J14</f>
        <v>#REF!</v>
      </c>
      <c r="K15" s="50" t="str">
        <f>J15/J4</f>
        <v>#REF!</v>
      </c>
      <c r="L15" s="45" t="str">
        <f>L9+L10+L11+L12+L13+L14</f>
        <v>#REF!</v>
      </c>
      <c r="M15" s="50" t="str">
        <f>L15/L4</f>
        <v>#REF!</v>
      </c>
      <c r="N15" s="45" t="str">
        <f>N9+N10+N11+N12+N13+N14</f>
        <v>#REF!</v>
      </c>
      <c r="O15" s="50" t="str">
        <f>N15/N4</f>
        <v>#REF!</v>
      </c>
      <c r="P15" s="45" t="str">
        <f>P9+P10+P11+P12+P13+P14</f>
        <v>#REF!</v>
      </c>
      <c r="Q15" s="50" t="str">
        <f>P15/P4</f>
        <v>#REF!</v>
      </c>
      <c r="R15" s="45" t="str">
        <f>R9+R10+R11+R14</f>
        <v>#REF!</v>
      </c>
      <c r="S15" s="50" t="str">
        <f>R15/R4</f>
        <v>#REF!</v>
      </c>
      <c r="T15" s="45" t="str">
        <f>T9+T10+T11+T14</f>
        <v>#REF!</v>
      </c>
      <c r="U15" s="50" t="str">
        <f>T15/T4</f>
        <v>#REF!</v>
      </c>
      <c r="V15" s="45" t="str">
        <f>V9+V10+V11+V14</f>
        <v>#REF!</v>
      </c>
      <c r="W15" s="50" t="str">
        <f>V15/V4</f>
        <v>#REF!</v>
      </c>
      <c r="X15" s="45" t="str">
        <f>X9+X10+X11+X14</f>
        <v>#REF!</v>
      </c>
      <c r="Y15" s="50" t="str">
        <f>X15/X4</f>
        <v>#REF!</v>
      </c>
      <c r="Z15" s="35" t="str">
        <f t="shared" ref="Z15:AI15" si="29">Z9+Z10+Z11+Z14</f>
        <v>#REF!</v>
      </c>
      <c r="AA15" s="35" t="str">
        <f t="shared" si="29"/>
        <v>#REF!</v>
      </c>
      <c r="AB15" s="35" t="str">
        <f t="shared" si="29"/>
        <v>#REF!</v>
      </c>
      <c r="AC15" s="35" t="str">
        <f t="shared" si="29"/>
        <v>#REF!</v>
      </c>
      <c r="AD15" s="35" t="str">
        <f t="shared" si="29"/>
        <v>#REF!</v>
      </c>
      <c r="AE15" s="35" t="str">
        <f t="shared" si="29"/>
        <v>#REF!</v>
      </c>
      <c r="AF15" s="35" t="str">
        <f t="shared" si="29"/>
        <v>#REF!</v>
      </c>
      <c r="AG15" s="35" t="str">
        <f t="shared" si="29"/>
        <v>#REF!</v>
      </c>
      <c r="AH15" s="35" t="str">
        <f t="shared" si="29"/>
        <v>#REF!</v>
      </c>
      <c r="AI15" s="35" t="str">
        <f t="shared" si="29"/>
        <v>#REF!</v>
      </c>
    </row>
    <row r="16">
      <c r="A16" s="44" t="s">
        <v>30</v>
      </c>
      <c r="B16" s="45" t="str">
        <f t="shared" ref="B16:H16" si="30">B8-B15</f>
        <v>#REF!</v>
      </c>
      <c r="C16" s="46" t="str">
        <f t="shared" si="30"/>
        <v>#REF!</v>
      </c>
      <c r="D16" s="47" t="str">
        <f t="shared" si="30"/>
        <v>#REF!</v>
      </c>
      <c r="E16" s="48" t="str">
        <f t="shared" si="30"/>
        <v>#REF!</v>
      </c>
      <c r="F16" s="45" t="str">
        <f t="shared" si="30"/>
        <v>#REF!</v>
      </c>
      <c r="G16" s="46" t="str">
        <f t="shared" si="30"/>
        <v>#REF!</v>
      </c>
      <c r="H16" s="49">
        <f t="shared" si="30"/>
        <v>43349.25</v>
      </c>
      <c r="I16" s="50">
        <f>H16/H4</f>
        <v>0.222510667</v>
      </c>
      <c r="J16" s="45" t="str">
        <f>J8-J15</f>
        <v>#REF!</v>
      </c>
      <c r="K16" s="50" t="str">
        <f>J16/J4</f>
        <v>#REF!</v>
      </c>
      <c r="L16" s="45" t="str">
        <f>L8-L15</f>
        <v>#REF!</v>
      </c>
      <c r="M16" s="50" t="str">
        <f>L16/L4</f>
        <v>#REF!</v>
      </c>
      <c r="N16" s="45" t="str">
        <f>N8-N15</f>
        <v>#REF!</v>
      </c>
      <c r="O16" s="50" t="str">
        <f>N16/N4</f>
        <v>#REF!</v>
      </c>
      <c r="P16" s="45" t="str">
        <f>P8-P15</f>
        <v>#REF!</v>
      </c>
      <c r="Q16" s="50" t="str">
        <f>P16/P4</f>
        <v>#REF!</v>
      </c>
      <c r="R16" s="45" t="str">
        <f>R8-R15</f>
        <v>#REF!</v>
      </c>
      <c r="S16" s="50" t="str">
        <f>R16/R4</f>
        <v>#REF!</v>
      </c>
      <c r="T16" s="45" t="str">
        <f>T8-T15</f>
        <v>#REF!</v>
      </c>
      <c r="U16" s="50" t="str">
        <f>T16/T4</f>
        <v>#REF!</v>
      </c>
      <c r="V16" s="45" t="str">
        <f>V8-V15</f>
        <v>#REF!</v>
      </c>
      <c r="W16" s="50" t="str">
        <f>V16/V4</f>
        <v>#REF!</v>
      </c>
      <c r="X16" s="45" t="str">
        <f>X8-X15</f>
        <v>#REF!</v>
      </c>
      <c r="Y16" s="50" t="str">
        <f>X16/X4</f>
        <v>#REF!</v>
      </c>
      <c r="Z16" s="35" t="str">
        <f t="shared" ref="Z16:AI16" si="31">Z8-Z15</f>
        <v>#REF!</v>
      </c>
      <c r="AA16" s="35" t="str">
        <f t="shared" si="31"/>
        <v>#REF!</v>
      </c>
      <c r="AB16" s="35" t="str">
        <f t="shared" si="31"/>
        <v>#REF!</v>
      </c>
      <c r="AC16" s="35" t="str">
        <f t="shared" si="31"/>
        <v>#REF!</v>
      </c>
      <c r="AD16" s="35" t="str">
        <f t="shared" si="31"/>
        <v>#REF!</v>
      </c>
      <c r="AE16" s="35" t="str">
        <f t="shared" si="31"/>
        <v>#REF!</v>
      </c>
      <c r="AF16" s="35" t="str">
        <f t="shared" si="31"/>
        <v>#REF!</v>
      </c>
      <c r="AG16" s="35" t="str">
        <f t="shared" si="31"/>
        <v>#REF!</v>
      </c>
      <c r="AH16" s="35" t="str">
        <f t="shared" si="31"/>
        <v>#REF!</v>
      </c>
      <c r="AI16" s="35" t="str">
        <f t="shared" si="31"/>
        <v>#REF!</v>
      </c>
    </row>
    <row r="17">
      <c r="A17" s="51" t="s">
        <v>31</v>
      </c>
      <c r="B17" s="37"/>
      <c r="C17" s="38"/>
      <c r="D17" s="39"/>
      <c r="E17" s="40"/>
      <c r="F17" s="37"/>
      <c r="G17" s="38"/>
      <c r="H17" s="52">
        <f>I17*H16</f>
        <v>9103.3425</v>
      </c>
      <c r="I17" s="55">
        <v>0.21</v>
      </c>
      <c r="J17" s="37"/>
      <c r="K17" s="43"/>
      <c r="L17" s="37"/>
      <c r="M17" s="43"/>
      <c r="N17" s="37"/>
      <c r="O17" s="43"/>
      <c r="P17" s="37"/>
      <c r="Q17" s="43"/>
      <c r="R17" s="37"/>
      <c r="S17" s="43"/>
      <c r="T17" s="37"/>
      <c r="U17" s="43"/>
      <c r="V17" s="37"/>
      <c r="W17" s="43"/>
      <c r="X17" s="37"/>
      <c r="Y17" s="43"/>
    </row>
    <row r="18">
      <c r="A18" s="56" t="s">
        <v>32</v>
      </c>
      <c r="B18" s="57" t="str">
        <f t="shared" ref="B18:F18" si="32">B16-B17</f>
        <v>#REF!</v>
      </c>
      <c r="C18" s="58" t="str">
        <f t="shared" si="32"/>
        <v>#REF!</v>
      </c>
      <c r="D18" s="59" t="str">
        <f t="shared" si="32"/>
        <v>#REF!</v>
      </c>
      <c r="E18" s="60" t="str">
        <f t="shared" si="32"/>
        <v>#REF!</v>
      </c>
      <c r="F18" s="57" t="str">
        <f t="shared" si="32"/>
        <v>#REF!</v>
      </c>
      <c r="G18" s="61" t="str">
        <f>F18/F6</f>
        <v>#REF!</v>
      </c>
      <c r="H18" s="62">
        <f>H16-H17</f>
        <v>34245.9075</v>
      </c>
      <c r="I18" s="63">
        <f>H18/H4</f>
        <v>0.1757834269</v>
      </c>
      <c r="J18" s="57" t="str">
        <f>J16-J17</f>
        <v>#REF!</v>
      </c>
      <c r="K18" s="63" t="str">
        <f>J18/J4</f>
        <v>#REF!</v>
      </c>
      <c r="L18" s="57" t="str">
        <f>L16-L17</f>
        <v>#REF!</v>
      </c>
      <c r="M18" s="63" t="str">
        <f>L18/L4</f>
        <v>#REF!</v>
      </c>
      <c r="N18" s="57" t="str">
        <f>N16-N17</f>
        <v>#REF!</v>
      </c>
      <c r="O18" s="63" t="str">
        <f>N18/N4</f>
        <v>#REF!</v>
      </c>
      <c r="P18" s="57" t="str">
        <f>P16-P17</f>
        <v>#REF!</v>
      </c>
      <c r="Q18" s="63" t="str">
        <f>P18/P4</f>
        <v>#REF!</v>
      </c>
      <c r="R18" s="57" t="str">
        <f>R16-R17</f>
        <v>#REF!</v>
      </c>
      <c r="S18" s="63" t="str">
        <f>R18/R4</f>
        <v>#REF!</v>
      </c>
      <c r="T18" s="57" t="str">
        <f>T16-T17</f>
        <v>#REF!</v>
      </c>
      <c r="U18" s="63" t="str">
        <f>T18/T4</f>
        <v>#REF!</v>
      </c>
      <c r="V18" s="57" t="str">
        <f>V16-V17</f>
        <v>#REF!</v>
      </c>
      <c r="W18" s="63" t="str">
        <f>V18/V4</f>
        <v>#REF!</v>
      </c>
      <c r="X18" s="57" t="str">
        <f>X16-X17</f>
        <v>#REF!</v>
      </c>
      <c r="Y18" s="63" t="str">
        <f>X18/X4</f>
        <v>#REF!</v>
      </c>
      <c r="Z18" s="35" t="str">
        <f t="shared" ref="Z18:AI18" si="33">Z16-Z17</f>
        <v>#REF!</v>
      </c>
      <c r="AA18" s="35" t="str">
        <f t="shared" si="33"/>
        <v>#REF!</v>
      </c>
      <c r="AB18" s="35" t="str">
        <f t="shared" si="33"/>
        <v>#REF!</v>
      </c>
      <c r="AC18" s="35" t="str">
        <f t="shared" si="33"/>
        <v>#REF!</v>
      </c>
      <c r="AD18" s="35" t="str">
        <f t="shared" si="33"/>
        <v>#REF!</v>
      </c>
      <c r="AE18" s="35" t="str">
        <f t="shared" si="33"/>
        <v>#REF!</v>
      </c>
      <c r="AF18" s="35" t="str">
        <f t="shared" si="33"/>
        <v>#REF!</v>
      </c>
      <c r="AG18" s="35" t="str">
        <f t="shared" si="33"/>
        <v>#REF!</v>
      </c>
      <c r="AH18" s="35" t="str">
        <f t="shared" si="33"/>
        <v>#REF!</v>
      </c>
      <c r="AI18" s="35" t="str">
        <f t="shared" si="33"/>
        <v>#REF!</v>
      </c>
    </row>
    <row r="19">
      <c r="I19" s="64"/>
    </row>
    <row r="20">
      <c r="I20" s="64"/>
    </row>
    <row r="21">
      <c r="A21" s="65" t="s">
        <v>33</v>
      </c>
      <c r="I21" s="64"/>
    </row>
    <row r="22">
      <c r="A22" s="65" t="s">
        <v>34</v>
      </c>
      <c r="I22" s="66">
        <f>38*73*2.5*30.5</f>
        <v>211517.5</v>
      </c>
    </row>
    <row r="23">
      <c r="I23" s="64"/>
      <c r="K23" s="66"/>
    </row>
    <row r="24">
      <c r="I24" s="67"/>
    </row>
    <row r="25">
      <c r="I25" s="64"/>
    </row>
    <row r="26">
      <c r="I26" s="64"/>
    </row>
    <row r="27">
      <c r="I27" s="64"/>
    </row>
    <row r="28">
      <c r="I28" s="64"/>
    </row>
    <row r="29">
      <c r="I29" s="64"/>
    </row>
    <row r="30">
      <c r="I30" s="64"/>
    </row>
    <row r="31">
      <c r="I31" s="64"/>
    </row>
    <row r="32">
      <c r="I32" s="64"/>
    </row>
    <row r="33">
      <c r="I33" s="64"/>
    </row>
    <row r="34">
      <c r="I34" s="64"/>
    </row>
    <row r="35">
      <c r="I35" s="64"/>
    </row>
    <row r="36">
      <c r="I36" s="64"/>
    </row>
    <row r="37">
      <c r="I37" s="64"/>
    </row>
    <row r="38">
      <c r="I38" s="64"/>
    </row>
    <row r="39">
      <c r="I39" s="64"/>
    </row>
    <row r="40">
      <c r="I40" s="64"/>
    </row>
    <row r="41">
      <c r="I41" s="64"/>
    </row>
    <row r="42">
      <c r="I42" s="64"/>
    </row>
    <row r="43">
      <c r="I43" s="64"/>
    </row>
    <row r="44">
      <c r="I44" s="64"/>
    </row>
    <row r="45">
      <c r="I45" s="64"/>
    </row>
    <row r="46">
      <c r="I46" s="64"/>
    </row>
    <row r="47">
      <c r="I47" s="64"/>
    </row>
    <row r="48">
      <c r="I48" s="64"/>
    </row>
    <row r="49">
      <c r="I49" s="64"/>
    </row>
    <row r="50">
      <c r="I50" s="64"/>
    </row>
    <row r="51">
      <c r="I51" s="64"/>
    </row>
    <row r="52">
      <c r="I52" s="64"/>
    </row>
    <row r="53">
      <c r="I53" s="64"/>
    </row>
    <row r="54">
      <c r="I54" s="64"/>
    </row>
    <row r="55">
      <c r="I55" s="64"/>
    </row>
    <row r="56">
      <c r="I56" s="64"/>
    </row>
    <row r="57">
      <c r="I57" s="64"/>
    </row>
    <row r="58">
      <c r="I58" s="64"/>
    </row>
    <row r="59">
      <c r="I59" s="64"/>
    </row>
    <row r="60">
      <c r="I60" s="64"/>
    </row>
    <row r="61">
      <c r="I61" s="64"/>
    </row>
    <row r="62">
      <c r="I62" s="64"/>
    </row>
    <row r="63">
      <c r="I63" s="64"/>
    </row>
    <row r="64">
      <c r="I64" s="64"/>
    </row>
    <row r="65">
      <c r="I65" s="64"/>
    </row>
    <row r="66">
      <c r="I66" s="64"/>
    </row>
    <row r="67">
      <c r="I67" s="64"/>
    </row>
    <row r="68">
      <c r="I68" s="64"/>
    </row>
    <row r="69">
      <c r="I69" s="64"/>
    </row>
    <row r="70">
      <c r="I70" s="64"/>
    </row>
    <row r="71">
      <c r="I71" s="64"/>
    </row>
    <row r="72">
      <c r="I72" s="64"/>
    </row>
    <row r="73">
      <c r="I73" s="64"/>
    </row>
    <row r="74">
      <c r="I74" s="64"/>
    </row>
    <row r="75">
      <c r="I75" s="64"/>
    </row>
    <row r="76">
      <c r="I76" s="64"/>
    </row>
    <row r="77">
      <c r="I77" s="64"/>
    </row>
    <row r="78">
      <c r="I78" s="64"/>
    </row>
    <row r="79">
      <c r="I79" s="64"/>
    </row>
    <row r="80">
      <c r="I80" s="64"/>
    </row>
    <row r="81">
      <c r="I81" s="64"/>
    </row>
    <row r="82">
      <c r="I82" s="64"/>
    </row>
    <row r="83">
      <c r="I83" s="64"/>
    </row>
    <row r="84">
      <c r="I84" s="64"/>
    </row>
    <row r="85">
      <c r="I85" s="64"/>
    </row>
    <row r="86">
      <c r="I86" s="64"/>
    </row>
    <row r="87">
      <c r="I87" s="64"/>
    </row>
    <row r="88">
      <c r="I88" s="64"/>
    </row>
    <row r="89">
      <c r="I89" s="64"/>
    </row>
    <row r="90">
      <c r="I90" s="64"/>
    </row>
    <row r="91">
      <c r="I91" s="64"/>
    </row>
    <row r="92">
      <c r="I92" s="64"/>
    </row>
    <row r="93">
      <c r="I93" s="64"/>
    </row>
    <row r="94">
      <c r="I94" s="64"/>
    </row>
    <row r="95">
      <c r="I95" s="64"/>
    </row>
    <row r="96">
      <c r="I96" s="64"/>
    </row>
    <row r="97">
      <c r="I97" s="64"/>
    </row>
    <row r="98">
      <c r="I98" s="64"/>
    </row>
    <row r="99">
      <c r="I99" s="64"/>
    </row>
    <row r="100">
      <c r="I100" s="64"/>
    </row>
    <row r="101">
      <c r="I101" s="64"/>
    </row>
    <row r="102">
      <c r="I102" s="64"/>
    </row>
    <row r="103">
      <c r="I103" s="64"/>
    </row>
    <row r="104">
      <c r="I104" s="64"/>
    </row>
    <row r="105">
      <c r="I105" s="64"/>
    </row>
    <row r="106">
      <c r="I106" s="64"/>
    </row>
    <row r="107">
      <c r="I107" s="64"/>
    </row>
    <row r="108">
      <c r="I108" s="64"/>
    </row>
    <row r="109">
      <c r="I109" s="64"/>
    </row>
    <row r="110">
      <c r="I110" s="64"/>
    </row>
    <row r="111">
      <c r="I111" s="64"/>
    </row>
    <row r="112">
      <c r="I112" s="64"/>
    </row>
    <row r="113">
      <c r="I113" s="64"/>
    </row>
    <row r="114">
      <c r="I114" s="64"/>
    </row>
    <row r="115">
      <c r="I115" s="64"/>
    </row>
    <row r="116">
      <c r="I116" s="64"/>
    </row>
    <row r="117">
      <c r="I117" s="64"/>
    </row>
    <row r="118">
      <c r="I118" s="64"/>
    </row>
    <row r="119">
      <c r="I119" s="64"/>
    </row>
    <row r="120">
      <c r="I120" s="64"/>
    </row>
    <row r="121">
      <c r="I121" s="64"/>
    </row>
    <row r="122">
      <c r="I122" s="64"/>
    </row>
    <row r="123">
      <c r="I123" s="64"/>
    </row>
    <row r="124">
      <c r="I124" s="64"/>
    </row>
    <row r="125">
      <c r="I125" s="64"/>
    </row>
    <row r="126">
      <c r="I126" s="64"/>
    </row>
    <row r="127">
      <c r="I127" s="64"/>
    </row>
    <row r="128">
      <c r="I128" s="64"/>
    </row>
    <row r="129">
      <c r="I129" s="64"/>
    </row>
    <row r="130">
      <c r="I130" s="64"/>
    </row>
    <row r="131">
      <c r="I131" s="64"/>
    </row>
    <row r="132">
      <c r="I132" s="64"/>
    </row>
    <row r="133">
      <c r="I133" s="64"/>
    </row>
    <row r="134">
      <c r="I134" s="64"/>
    </row>
    <row r="135">
      <c r="I135" s="64"/>
    </row>
    <row r="136">
      <c r="I136" s="64"/>
    </row>
    <row r="137">
      <c r="I137" s="64"/>
    </row>
    <row r="138">
      <c r="I138" s="64"/>
    </row>
    <row r="139">
      <c r="I139" s="64"/>
    </row>
    <row r="140">
      <c r="I140" s="64"/>
    </row>
    <row r="141">
      <c r="I141" s="64"/>
    </row>
    <row r="142">
      <c r="I142" s="64"/>
    </row>
    <row r="143">
      <c r="I143" s="64"/>
    </row>
    <row r="144">
      <c r="I144" s="64"/>
    </row>
    <row r="145">
      <c r="I145" s="64"/>
    </row>
    <row r="146">
      <c r="I146" s="64"/>
    </row>
    <row r="147">
      <c r="I147" s="64"/>
    </row>
    <row r="148">
      <c r="I148" s="64"/>
    </row>
    <row r="149">
      <c r="I149" s="64"/>
    </row>
    <row r="150">
      <c r="I150" s="64"/>
    </row>
    <row r="151">
      <c r="I151" s="64"/>
    </row>
    <row r="152">
      <c r="I152" s="64"/>
    </row>
    <row r="153">
      <c r="I153" s="64"/>
    </row>
    <row r="154">
      <c r="I154" s="64"/>
    </row>
    <row r="155">
      <c r="I155" s="64"/>
    </row>
    <row r="156">
      <c r="I156" s="64"/>
    </row>
    <row r="157">
      <c r="I157" s="64"/>
    </row>
    <row r="158">
      <c r="I158" s="64"/>
    </row>
    <row r="159">
      <c r="I159" s="64"/>
    </row>
    <row r="160">
      <c r="I160" s="64"/>
    </row>
    <row r="161">
      <c r="I161" s="64"/>
    </row>
    <row r="162">
      <c r="I162" s="64"/>
    </row>
    <row r="163">
      <c r="I163" s="64"/>
    </row>
    <row r="164">
      <c r="I164" s="64"/>
    </row>
    <row r="165">
      <c r="I165" s="64"/>
    </row>
    <row r="166">
      <c r="I166" s="64"/>
    </row>
    <row r="167">
      <c r="I167" s="64"/>
    </row>
    <row r="168">
      <c r="I168" s="64"/>
    </row>
    <row r="169">
      <c r="I169" s="64"/>
    </row>
    <row r="170">
      <c r="I170" s="64"/>
    </row>
    <row r="171">
      <c r="I171" s="64"/>
    </row>
    <row r="172">
      <c r="I172" s="64"/>
    </row>
    <row r="173">
      <c r="I173" s="64"/>
    </row>
    <row r="174">
      <c r="I174" s="64"/>
    </row>
    <row r="175">
      <c r="I175" s="64"/>
    </row>
    <row r="176">
      <c r="I176" s="64"/>
    </row>
    <row r="177">
      <c r="I177" s="64"/>
    </row>
    <row r="178">
      <c r="I178" s="64"/>
    </row>
    <row r="179">
      <c r="I179" s="64"/>
    </row>
    <row r="180">
      <c r="I180" s="64"/>
    </row>
    <row r="181">
      <c r="I181" s="64"/>
    </row>
    <row r="182">
      <c r="I182" s="64"/>
    </row>
    <row r="183">
      <c r="I183" s="64"/>
    </row>
    <row r="184">
      <c r="I184" s="64"/>
    </row>
    <row r="185">
      <c r="I185" s="64"/>
    </row>
    <row r="186">
      <c r="I186" s="64"/>
    </row>
    <row r="187">
      <c r="I187" s="64"/>
    </row>
    <row r="188">
      <c r="I188" s="64"/>
    </row>
    <row r="189">
      <c r="I189" s="64"/>
    </row>
    <row r="190">
      <c r="I190" s="64"/>
    </row>
    <row r="191">
      <c r="I191" s="64"/>
    </row>
    <row r="192">
      <c r="I192" s="64"/>
    </row>
    <row r="193">
      <c r="I193" s="64"/>
    </row>
    <row r="194">
      <c r="I194" s="64"/>
    </row>
    <row r="195">
      <c r="I195" s="64"/>
    </row>
    <row r="196">
      <c r="I196" s="64"/>
    </row>
    <row r="197">
      <c r="I197" s="64"/>
    </row>
    <row r="198">
      <c r="I198" s="64"/>
    </row>
    <row r="199">
      <c r="I199" s="64"/>
    </row>
    <row r="200">
      <c r="I200" s="64"/>
    </row>
    <row r="201">
      <c r="I201" s="64"/>
    </row>
    <row r="202">
      <c r="I202" s="64"/>
    </row>
    <row r="203">
      <c r="I203" s="64"/>
    </row>
    <row r="204">
      <c r="I204" s="64"/>
    </row>
    <row r="205">
      <c r="I205" s="64"/>
    </row>
    <row r="206">
      <c r="I206" s="64"/>
    </row>
    <row r="207">
      <c r="I207" s="64"/>
    </row>
    <row r="208">
      <c r="I208" s="64"/>
    </row>
    <row r="209">
      <c r="I209" s="64"/>
    </row>
    <row r="210">
      <c r="I210" s="64"/>
    </row>
    <row r="211">
      <c r="I211" s="64"/>
    </row>
    <row r="212">
      <c r="I212" s="64"/>
    </row>
    <row r="213">
      <c r="I213" s="64"/>
    </row>
    <row r="214">
      <c r="I214" s="64"/>
    </row>
    <row r="215">
      <c r="I215" s="64"/>
    </row>
    <row r="216">
      <c r="I216" s="64"/>
    </row>
    <row r="217">
      <c r="I217" s="64"/>
    </row>
    <row r="218">
      <c r="I218" s="64"/>
    </row>
    <row r="219">
      <c r="I219" s="64"/>
    </row>
    <row r="220">
      <c r="I220" s="64"/>
    </row>
    <row r="221">
      <c r="I221" s="64"/>
    </row>
    <row r="222">
      <c r="I222" s="64"/>
    </row>
    <row r="223">
      <c r="I223" s="64"/>
    </row>
    <row r="224">
      <c r="I224" s="64"/>
    </row>
    <row r="225">
      <c r="I225" s="64"/>
    </row>
    <row r="226">
      <c r="I226" s="64"/>
    </row>
    <row r="227">
      <c r="I227" s="64"/>
    </row>
    <row r="228">
      <c r="I228" s="64"/>
    </row>
    <row r="229">
      <c r="I229" s="64"/>
    </row>
    <row r="230">
      <c r="I230" s="64"/>
    </row>
    <row r="231">
      <c r="I231" s="64"/>
    </row>
    <row r="232">
      <c r="I232" s="64"/>
    </row>
    <row r="233">
      <c r="I233" s="64"/>
    </row>
    <row r="234">
      <c r="I234" s="64"/>
    </row>
    <row r="235">
      <c r="I235" s="64"/>
    </row>
    <row r="236">
      <c r="I236" s="64"/>
    </row>
    <row r="237">
      <c r="I237" s="64"/>
    </row>
    <row r="238">
      <c r="I238" s="64"/>
    </row>
    <row r="239">
      <c r="I239" s="64"/>
    </row>
    <row r="240">
      <c r="I240" s="64"/>
    </row>
    <row r="241">
      <c r="I241" s="64"/>
    </row>
    <row r="242">
      <c r="I242" s="64"/>
    </row>
    <row r="243">
      <c r="I243" s="64"/>
    </row>
    <row r="244">
      <c r="I244" s="64"/>
    </row>
    <row r="245">
      <c r="I245" s="64"/>
    </row>
    <row r="246">
      <c r="I246" s="64"/>
    </row>
    <row r="247">
      <c r="I247" s="64"/>
    </row>
    <row r="248">
      <c r="I248" s="64"/>
    </row>
    <row r="249">
      <c r="I249" s="64"/>
    </row>
    <row r="250">
      <c r="I250" s="64"/>
    </row>
    <row r="251">
      <c r="I251" s="64"/>
    </row>
    <row r="252">
      <c r="I252" s="64"/>
    </row>
    <row r="253">
      <c r="I253" s="64"/>
    </row>
    <row r="254">
      <c r="I254" s="64"/>
    </row>
    <row r="255">
      <c r="I255" s="64"/>
    </row>
    <row r="256">
      <c r="I256" s="64"/>
    </row>
    <row r="257">
      <c r="I257" s="64"/>
    </row>
    <row r="258">
      <c r="I258" s="64"/>
    </row>
    <row r="259">
      <c r="I259" s="64"/>
    </row>
    <row r="260">
      <c r="I260" s="64"/>
    </row>
    <row r="261">
      <c r="I261" s="64"/>
    </row>
    <row r="262">
      <c r="I262" s="64"/>
    </row>
    <row r="263">
      <c r="I263" s="64"/>
    </row>
    <row r="264">
      <c r="I264" s="64"/>
    </row>
    <row r="265">
      <c r="I265" s="64"/>
    </row>
    <row r="266">
      <c r="I266" s="64"/>
    </row>
    <row r="267">
      <c r="I267" s="64"/>
    </row>
    <row r="268">
      <c r="I268" s="64"/>
    </row>
    <row r="269">
      <c r="I269" s="64"/>
    </row>
    <row r="270">
      <c r="I270" s="64"/>
    </row>
    <row r="271">
      <c r="I271" s="64"/>
    </row>
    <row r="272">
      <c r="I272" s="64"/>
    </row>
    <row r="273">
      <c r="I273" s="64"/>
    </row>
    <row r="274">
      <c r="I274" s="64"/>
    </row>
    <row r="275">
      <c r="I275" s="64"/>
    </row>
    <row r="276">
      <c r="I276" s="64"/>
    </row>
    <row r="277">
      <c r="I277" s="64"/>
    </row>
    <row r="278">
      <c r="I278" s="64"/>
    </row>
    <row r="279">
      <c r="I279" s="64"/>
    </row>
    <row r="280">
      <c r="I280" s="64"/>
    </row>
    <row r="281">
      <c r="I281" s="64"/>
    </row>
    <row r="282">
      <c r="I282" s="64"/>
    </row>
    <row r="283">
      <c r="I283" s="64"/>
    </row>
    <row r="284">
      <c r="I284" s="64"/>
    </row>
    <row r="285">
      <c r="I285" s="64"/>
    </row>
    <row r="286">
      <c r="I286" s="64"/>
    </row>
    <row r="287">
      <c r="I287" s="64"/>
    </row>
    <row r="288">
      <c r="I288" s="64"/>
    </row>
    <row r="289">
      <c r="I289" s="64"/>
    </row>
    <row r="290">
      <c r="I290" s="64"/>
    </row>
    <row r="291">
      <c r="I291" s="64"/>
    </row>
    <row r="292">
      <c r="I292" s="64"/>
    </row>
    <row r="293">
      <c r="I293" s="64"/>
    </row>
    <row r="294">
      <c r="I294" s="64"/>
    </row>
    <row r="295">
      <c r="I295" s="64"/>
    </row>
    <row r="296">
      <c r="I296" s="64"/>
    </row>
    <row r="297">
      <c r="I297" s="64"/>
    </row>
    <row r="298">
      <c r="I298" s="64"/>
    </row>
    <row r="299">
      <c r="I299" s="64"/>
    </row>
    <row r="300">
      <c r="I300" s="64"/>
    </row>
    <row r="301">
      <c r="I301" s="64"/>
    </row>
    <row r="302">
      <c r="I302" s="64"/>
    </row>
    <row r="303">
      <c r="I303" s="64"/>
    </row>
    <row r="304">
      <c r="I304" s="64"/>
    </row>
    <row r="305">
      <c r="I305" s="64"/>
    </row>
    <row r="306">
      <c r="I306" s="64"/>
    </row>
    <row r="307">
      <c r="I307" s="64"/>
    </row>
    <row r="308">
      <c r="I308" s="64"/>
    </row>
    <row r="309">
      <c r="I309" s="64"/>
    </row>
    <row r="310">
      <c r="I310" s="64"/>
    </row>
    <row r="311">
      <c r="I311" s="64"/>
    </row>
    <row r="312">
      <c r="I312" s="64"/>
    </row>
    <row r="313">
      <c r="I313" s="64"/>
    </row>
    <row r="314">
      <c r="I314" s="64"/>
    </row>
    <row r="315">
      <c r="I315" s="64"/>
    </row>
    <row r="316">
      <c r="I316" s="64"/>
    </row>
    <row r="317">
      <c r="I317" s="64"/>
    </row>
    <row r="318">
      <c r="I318" s="64"/>
    </row>
    <row r="319">
      <c r="I319" s="64"/>
    </row>
    <row r="320">
      <c r="I320" s="64"/>
    </row>
    <row r="321">
      <c r="I321" s="64"/>
    </row>
    <row r="322">
      <c r="I322" s="64"/>
    </row>
    <row r="323">
      <c r="I323" s="64"/>
    </row>
    <row r="324">
      <c r="I324" s="64"/>
    </row>
    <row r="325">
      <c r="I325" s="64"/>
    </row>
    <row r="326">
      <c r="I326" s="64"/>
    </row>
    <row r="327">
      <c r="I327" s="64"/>
    </row>
    <row r="328">
      <c r="I328" s="64"/>
    </row>
    <row r="329">
      <c r="I329" s="64"/>
    </row>
    <row r="330">
      <c r="I330" s="64"/>
    </row>
    <row r="331">
      <c r="I331" s="64"/>
    </row>
    <row r="332">
      <c r="I332" s="64"/>
    </row>
    <row r="333">
      <c r="I333" s="64"/>
    </row>
    <row r="334">
      <c r="I334" s="64"/>
    </row>
    <row r="335">
      <c r="I335" s="64"/>
    </row>
    <row r="336">
      <c r="I336" s="64"/>
    </row>
    <row r="337">
      <c r="I337" s="64"/>
    </row>
    <row r="338">
      <c r="I338" s="64"/>
    </row>
    <row r="339">
      <c r="I339" s="64"/>
    </row>
    <row r="340">
      <c r="I340" s="64"/>
    </row>
    <row r="341">
      <c r="I341" s="64"/>
    </row>
    <row r="342">
      <c r="I342" s="64"/>
    </row>
    <row r="343">
      <c r="I343" s="64"/>
    </row>
    <row r="344">
      <c r="I344" s="64"/>
    </row>
    <row r="345">
      <c r="I345" s="64"/>
    </row>
    <row r="346">
      <c r="I346" s="64"/>
    </row>
    <row r="347">
      <c r="I347" s="64"/>
    </row>
    <row r="348">
      <c r="I348" s="64"/>
    </row>
    <row r="349">
      <c r="I349" s="64"/>
    </row>
    <row r="350">
      <c r="I350" s="64"/>
    </row>
    <row r="351">
      <c r="I351" s="64"/>
    </row>
    <row r="352">
      <c r="I352" s="64"/>
    </row>
    <row r="353">
      <c r="I353" s="64"/>
    </row>
    <row r="354">
      <c r="I354" s="64"/>
    </row>
    <row r="355">
      <c r="I355" s="64"/>
    </row>
    <row r="356">
      <c r="I356" s="64"/>
    </row>
    <row r="357">
      <c r="I357" s="64"/>
    </row>
    <row r="358">
      <c r="I358" s="64"/>
    </row>
    <row r="359">
      <c r="I359" s="64"/>
    </row>
    <row r="360">
      <c r="I360" s="64"/>
    </row>
    <row r="361">
      <c r="I361" s="64"/>
    </row>
    <row r="362">
      <c r="I362" s="64"/>
    </row>
    <row r="363">
      <c r="I363" s="64"/>
    </row>
    <row r="364">
      <c r="I364" s="64"/>
    </row>
    <row r="365">
      <c r="I365" s="64"/>
    </row>
    <row r="366">
      <c r="I366" s="64"/>
    </row>
    <row r="367">
      <c r="I367" s="64"/>
    </row>
    <row r="368">
      <c r="I368" s="64"/>
    </row>
    <row r="369">
      <c r="I369" s="64"/>
    </row>
    <row r="370">
      <c r="I370" s="64"/>
    </row>
    <row r="371">
      <c r="I371" s="64"/>
    </row>
    <row r="372">
      <c r="I372" s="64"/>
    </row>
    <row r="373">
      <c r="I373" s="64"/>
    </row>
    <row r="374">
      <c r="I374" s="64"/>
    </row>
    <row r="375">
      <c r="I375" s="64"/>
    </row>
    <row r="376">
      <c r="I376" s="64"/>
    </row>
    <row r="377">
      <c r="I377" s="64"/>
    </row>
    <row r="378">
      <c r="I378" s="64"/>
    </row>
    <row r="379">
      <c r="I379" s="64"/>
    </row>
    <row r="380">
      <c r="I380" s="64"/>
    </row>
    <row r="381">
      <c r="I381" s="64"/>
    </row>
    <row r="382">
      <c r="I382" s="64"/>
    </row>
    <row r="383">
      <c r="I383" s="64"/>
    </row>
    <row r="384">
      <c r="I384" s="64"/>
    </row>
    <row r="385">
      <c r="I385" s="64"/>
    </row>
    <row r="386">
      <c r="I386" s="64"/>
    </row>
    <row r="387">
      <c r="I387" s="64"/>
    </row>
    <row r="388">
      <c r="I388" s="64"/>
    </row>
    <row r="389">
      <c r="I389" s="64"/>
    </row>
    <row r="390">
      <c r="I390" s="64"/>
    </row>
    <row r="391">
      <c r="I391" s="64"/>
    </row>
    <row r="392">
      <c r="I392" s="64"/>
    </row>
    <row r="393">
      <c r="I393" s="64"/>
    </row>
    <row r="394">
      <c r="I394" s="64"/>
    </row>
    <row r="395">
      <c r="I395" s="64"/>
    </row>
    <row r="396">
      <c r="I396" s="64"/>
    </row>
    <row r="397">
      <c r="I397" s="64"/>
    </row>
    <row r="398">
      <c r="I398" s="64"/>
    </row>
    <row r="399">
      <c r="I399" s="64"/>
    </row>
    <row r="400">
      <c r="I400" s="64"/>
    </row>
    <row r="401">
      <c r="I401" s="64"/>
    </row>
    <row r="402">
      <c r="I402" s="64"/>
    </row>
    <row r="403">
      <c r="I403" s="64"/>
    </row>
    <row r="404">
      <c r="I404" s="64"/>
    </row>
    <row r="405">
      <c r="I405" s="64"/>
    </row>
    <row r="406">
      <c r="I406" s="64"/>
    </row>
    <row r="407">
      <c r="I407" s="64"/>
    </row>
    <row r="408">
      <c r="I408" s="64"/>
    </row>
    <row r="409">
      <c r="I409" s="64"/>
    </row>
    <row r="410">
      <c r="I410" s="64"/>
    </row>
    <row r="411">
      <c r="I411" s="64"/>
    </row>
    <row r="412">
      <c r="I412" s="64"/>
    </row>
    <row r="413">
      <c r="I413" s="64"/>
    </row>
    <row r="414">
      <c r="I414" s="64"/>
    </row>
    <row r="415">
      <c r="I415" s="64"/>
    </row>
    <row r="416">
      <c r="I416" s="64"/>
    </row>
    <row r="417">
      <c r="I417" s="64"/>
    </row>
    <row r="418">
      <c r="I418" s="64"/>
    </row>
    <row r="419">
      <c r="I419" s="64"/>
    </row>
    <row r="420">
      <c r="I420" s="64"/>
    </row>
    <row r="421">
      <c r="I421" s="64"/>
    </row>
    <row r="422">
      <c r="I422" s="64"/>
    </row>
    <row r="423">
      <c r="I423" s="64"/>
    </row>
    <row r="424">
      <c r="I424" s="64"/>
    </row>
    <row r="425">
      <c r="I425" s="64"/>
    </row>
    <row r="426">
      <c r="I426" s="64"/>
    </row>
    <row r="427">
      <c r="I427" s="64"/>
    </row>
    <row r="428">
      <c r="I428" s="64"/>
    </row>
    <row r="429">
      <c r="I429" s="64"/>
    </row>
    <row r="430">
      <c r="I430" s="64"/>
    </row>
    <row r="431">
      <c r="I431" s="64"/>
    </row>
    <row r="432">
      <c r="I432" s="64"/>
    </row>
    <row r="433">
      <c r="I433" s="64"/>
    </row>
    <row r="434">
      <c r="I434" s="64"/>
    </row>
    <row r="435">
      <c r="I435" s="64"/>
    </row>
    <row r="436">
      <c r="I436" s="64"/>
    </row>
    <row r="437">
      <c r="I437" s="64"/>
    </row>
    <row r="438">
      <c r="I438" s="64"/>
    </row>
    <row r="439">
      <c r="I439" s="64"/>
    </row>
    <row r="440">
      <c r="I440" s="64"/>
    </row>
    <row r="441">
      <c r="I441" s="64"/>
    </row>
    <row r="442">
      <c r="I442" s="64"/>
    </row>
    <row r="443">
      <c r="I443" s="64"/>
    </row>
    <row r="444">
      <c r="I444" s="64"/>
    </row>
    <row r="445">
      <c r="I445" s="64"/>
    </row>
    <row r="446">
      <c r="I446" s="64"/>
    </row>
    <row r="447">
      <c r="I447" s="64"/>
    </row>
    <row r="448">
      <c r="I448" s="64"/>
    </row>
    <row r="449">
      <c r="I449" s="64"/>
    </row>
    <row r="450">
      <c r="I450" s="64"/>
    </row>
    <row r="451">
      <c r="I451" s="64"/>
    </row>
    <row r="452">
      <c r="I452" s="64"/>
    </row>
    <row r="453">
      <c r="I453" s="64"/>
    </row>
    <row r="454">
      <c r="I454" s="64"/>
    </row>
    <row r="455">
      <c r="I455" s="64"/>
    </row>
    <row r="456">
      <c r="I456" s="64"/>
    </row>
    <row r="457">
      <c r="I457" s="64"/>
    </row>
    <row r="458">
      <c r="I458" s="64"/>
    </row>
    <row r="459">
      <c r="I459" s="64"/>
    </row>
    <row r="460">
      <c r="I460" s="64"/>
    </row>
    <row r="461">
      <c r="I461" s="64"/>
    </row>
    <row r="462">
      <c r="I462" s="64"/>
    </row>
    <row r="463">
      <c r="I463" s="64"/>
    </row>
    <row r="464">
      <c r="I464" s="64"/>
    </row>
    <row r="465">
      <c r="I465" s="64"/>
    </row>
    <row r="466">
      <c r="I466" s="64"/>
    </row>
    <row r="467">
      <c r="I467" s="64"/>
    </row>
    <row r="468">
      <c r="I468" s="64"/>
    </row>
    <row r="469">
      <c r="I469" s="64"/>
    </row>
    <row r="470">
      <c r="I470" s="64"/>
    </row>
    <row r="471">
      <c r="I471" s="64"/>
    </row>
    <row r="472">
      <c r="I472" s="64"/>
    </row>
    <row r="473">
      <c r="I473" s="64"/>
    </row>
    <row r="474">
      <c r="I474" s="64"/>
    </row>
    <row r="475">
      <c r="I475" s="64"/>
    </row>
    <row r="476">
      <c r="I476" s="64"/>
    </row>
    <row r="477">
      <c r="I477" s="64"/>
    </row>
    <row r="478">
      <c r="I478" s="64"/>
    </row>
    <row r="479">
      <c r="I479" s="64"/>
    </row>
    <row r="480">
      <c r="I480" s="64"/>
    </row>
    <row r="481">
      <c r="I481" s="64"/>
    </row>
    <row r="482">
      <c r="I482" s="64"/>
    </row>
    <row r="483">
      <c r="I483" s="64"/>
    </row>
    <row r="484">
      <c r="I484" s="64"/>
    </row>
    <row r="485">
      <c r="I485" s="64"/>
    </row>
    <row r="486">
      <c r="I486" s="64"/>
    </row>
    <row r="487">
      <c r="I487" s="64"/>
    </row>
    <row r="488">
      <c r="I488" s="64"/>
    </row>
    <row r="489">
      <c r="I489" s="64"/>
    </row>
    <row r="490">
      <c r="I490" s="64"/>
    </row>
    <row r="491">
      <c r="I491" s="64"/>
    </row>
    <row r="492">
      <c r="I492" s="64"/>
    </row>
    <row r="493">
      <c r="I493" s="64"/>
    </row>
    <row r="494">
      <c r="I494" s="64"/>
    </row>
    <row r="495">
      <c r="I495" s="64"/>
    </row>
    <row r="496">
      <c r="I496" s="64"/>
    </row>
    <row r="497">
      <c r="I497" s="64"/>
    </row>
    <row r="498">
      <c r="I498" s="64"/>
    </row>
    <row r="499">
      <c r="I499" s="64"/>
    </row>
    <row r="500">
      <c r="I500" s="64"/>
    </row>
    <row r="501">
      <c r="I501" s="64"/>
    </row>
    <row r="502">
      <c r="I502" s="64"/>
    </row>
    <row r="503">
      <c r="I503" s="64"/>
    </row>
    <row r="504">
      <c r="I504" s="64"/>
    </row>
    <row r="505">
      <c r="I505" s="64"/>
    </row>
    <row r="506">
      <c r="I506" s="64"/>
    </row>
    <row r="507">
      <c r="I507" s="64"/>
    </row>
    <row r="508">
      <c r="I508" s="64"/>
    </row>
    <row r="509">
      <c r="I509" s="64"/>
    </row>
    <row r="510">
      <c r="I510" s="64"/>
    </row>
    <row r="511">
      <c r="I511" s="64"/>
    </row>
    <row r="512">
      <c r="I512" s="64"/>
    </row>
    <row r="513">
      <c r="I513" s="64"/>
    </row>
    <row r="514">
      <c r="I514" s="64"/>
    </row>
    <row r="515">
      <c r="I515" s="64"/>
    </row>
    <row r="516">
      <c r="I516" s="64"/>
    </row>
    <row r="517">
      <c r="I517" s="64"/>
    </row>
    <row r="518">
      <c r="I518" s="64"/>
    </row>
    <row r="519">
      <c r="I519" s="64"/>
    </row>
    <row r="520">
      <c r="I520" s="64"/>
    </row>
    <row r="521">
      <c r="I521" s="64"/>
    </row>
    <row r="522">
      <c r="I522" s="64"/>
    </row>
    <row r="523">
      <c r="I523" s="64"/>
    </row>
    <row r="524">
      <c r="I524" s="64"/>
    </row>
    <row r="525">
      <c r="I525" s="64"/>
    </row>
    <row r="526">
      <c r="I526" s="64"/>
    </row>
    <row r="527">
      <c r="I527" s="64"/>
    </row>
    <row r="528">
      <c r="I528" s="64"/>
    </row>
    <row r="529">
      <c r="I529" s="64"/>
    </row>
    <row r="530">
      <c r="I530" s="64"/>
    </row>
    <row r="531">
      <c r="I531" s="64"/>
    </row>
    <row r="532">
      <c r="I532" s="64"/>
    </row>
    <row r="533">
      <c r="I533" s="64"/>
    </row>
    <row r="534">
      <c r="I534" s="64"/>
    </row>
    <row r="535">
      <c r="I535" s="64"/>
    </row>
    <row r="536">
      <c r="I536" s="64"/>
    </row>
    <row r="537">
      <c r="I537" s="64"/>
    </row>
    <row r="538">
      <c r="I538" s="64"/>
    </row>
    <row r="539">
      <c r="I539" s="64"/>
    </row>
    <row r="540">
      <c r="I540" s="64"/>
    </row>
    <row r="541">
      <c r="I541" s="64"/>
    </row>
    <row r="542">
      <c r="I542" s="64"/>
    </row>
    <row r="543">
      <c r="I543" s="64"/>
    </row>
    <row r="544">
      <c r="I544" s="64"/>
    </row>
    <row r="545">
      <c r="I545" s="64"/>
    </row>
    <row r="546">
      <c r="I546" s="64"/>
    </row>
    <row r="547">
      <c r="I547" s="64"/>
    </row>
    <row r="548">
      <c r="I548" s="64"/>
    </row>
    <row r="549">
      <c r="I549" s="64"/>
    </row>
    <row r="550">
      <c r="I550" s="64"/>
    </row>
    <row r="551">
      <c r="I551" s="64"/>
    </row>
    <row r="552">
      <c r="I552" s="64"/>
    </row>
    <row r="553">
      <c r="I553" s="64"/>
    </row>
    <row r="554">
      <c r="I554" s="64"/>
    </row>
    <row r="555">
      <c r="I555" s="64"/>
    </row>
    <row r="556">
      <c r="I556" s="64"/>
    </row>
    <row r="557">
      <c r="I557" s="64"/>
    </row>
    <row r="558">
      <c r="I558" s="64"/>
    </row>
    <row r="559">
      <c r="I559" s="64"/>
    </row>
    <row r="560">
      <c r="I560" s="64"/>
    </row>
    <row r="561">
      <c r="I561" s="64"/>
    </row>
    <row r="562">
      <c r="I562" s="64"/>
    </row>
    <row r="563">
      <c r="I563" s="64"/>
    </row>
    <row r="564">
      <c r="I564" s="64"/>
    </row>
    <row r="565">
      <c r="I565" s="64"/>
    </row>
    <row r="566">
      <c r="I566" s="64"/>
    </row>
    <row r="567">
      <c r="I567" s="64"/>
    </row>
    <row r="568">
      <c r="I568" s="64"/>
    </row>
    <row r="569">
      <c r="I569" s="64"/>
    </row>
    <row r="570">
      <c r="I570" s="64"/>
    </row>
    <row r="571">
      <c r="I571" s="64"/>
    </row>
    <row r="572">
      <c r="I572" s="64"/>
    </row>
    <row r="573">
      <c r="I573" s="64"/>
    </row>
    <row r="574">
      <c r="I574" s="64"/>
    </row>
    <row r="575">
      <c r="I575" s="64"/>
    </row>
    <row r="576">
      <c r="I576" s="64"/>
    </row>
    <row r="577">
      <c r="I577" s="64"/>
    </row>
    <row r="578">
      <c r="I578" s="64"/>
    </row>
    <row r="579">
      <c r="I579" s="64"/>
    </row>
    <row r="580">
      <c r="I580" s="64"/>
    </row>
    <row r="581">
      <c r="I581" s="64"/>
    </row>
    <row r="582">
      <c r="I582" s="64"/>
    </row>
    <row r="583">
      <c r="I583" s="64"/>
    </row>
    <row r="584">
      <c r="I584" s="64"/>
    </row>
    <row r="585">
      <c r="I585" s="64"/>
    </row>
    <row r="586">
      <c r="I586" s="64"/>
    </row>
    <row r="587">
      <c r="I587" s="64"/>
    </row>
    <row r="588">
      <c r="I588" s="64"/>
    </row>
    <row r="589">
      <c r="I589" s="64"/>
    </row>
    <row r="590">
      <c r="I590" s="64"/>
    </row>
    <row r="591">
      <c r="I591" s="64"/>
    </row>
    <row r="592">
      <c r="I592" s="64"/>
    </row>
    <row r="593">
      <c r="I593" s="64"/>
    </row>
    <row r="594">
      <c r="I594" s="64"/>
    </row>
    <row r="595">
      <c r="I595" s="64"/>
    </row>
    <row r="596">
      <c r="I596" s="64"/>
    </row>
    <row r="597">
      <c r="I597" s="64"/>
    </row>
    <row r="598">
      <c r="I598" s="64"/>
    </row>
    <row r="599">
      <c r="I599" s="64"/>
    </row>
    <row r="600">
      <c r="I600" s="64"/>
    </row>
    <row r="601">
      <c r="I601" s="64"/>
    </row>
    <row r="602">
      <c r="I602" s="64"/>
    </row>
    <row r="603">
      <c r="I603" s="64"/>
    </row>
    <row r="604">
      <c r="I604" s="64"/>
    </row>
    <row r="605">
      <c r="I605" s="64"/>
    </row>
    <row r="606">
      <c r="I606" s="64"/>
    </row>
    <row r="607">
      <c r="I607" s="64"/>
    </row>
    <row r="608">
      <c r="I608" s="64"/>
    </row>
    <row r="609">
      <c r="I609" s="64"/>
    </row>
    <row r="610">
      <c r="I610" s="64"/>
    </row>
    <row r="611">
      <c r="I611" s="64"/>
    </row>
    <row r="612">
      <c r="I612" s="64"/>
    </row>
    <row r="613">
      <c r="I613" s="64"/>
    </row>
    <row r="614">
      <c r="I614" s="64"/>
    </row>
    <row r="615">
      <c r="I615" s="64"/>
    </row>
    <row r="616">
      <c r="I616" s="64"/>
    </row>
    <row r="617">
      <c r="I617" s="64"/>
    </row>
    <row r="618">
      <c r="I618" s="64"/>
    </row>
    <row r="619">
      <c r="I619" s="64"/>
    </row>
    <row r="620">
      <c r="I620" s="64"/>
    </row>
    <row r="621">
      <c r="I621" s="64"/>
    </row>
    <row r="622">
      <c r="I622" s="64"/>
    </row>
    <row r="623">
      <c r="I623" s="64"/>
    </row>
    <row r="624">
      <c r="I624" s="64"/>
    </row>
    <row r="625">
      <c r="I625" s="64"/>
    </row>
    <row r="626">
      <c r="I626" s="64"/>
    </row>
    <row r="627">
      <c r="I627" s="64"/>
    </row>
    <row r="628">
      <c r="I628" s="64"/>
    </row>
    <row r="629">
      <c r="I629" s="64"/>
    </row>
    <row r="630">
      <c r="I630" s="64"/>
    </row>
    <row r="631">
      <c r="I631" s="64"/>
    </row>
    <row r="632">
      <c r="I632" s="64"/>
    </row>
    <row r="633">
      <c r="I633" s="64"/>
    </row>
    <row r="634">
      <c r="I634" s="64"/>
    </row>
    <row r="635">
      <c r="I635" s="64"/>
    </row>
    <row r="636">
      <c r="I636" s="64"/>
    </row>
    <row r="637">
      <c r="I637" s="64"/>
    </row>
    <row r="638">
      <c r="I638" s="64"/>
    </row>
    <row r="639">
      <c r="I639" s="64"/>
    </row>
    <row r="640">
      <c r="I640" s="64"/>
    </row>
    <row r="641">
      <c r="I641" s="64"/>
    </row>
    <row r="642">
      <c r="I642" s="64"/>
    </row>
    <row r="643">
      <c r="I643" s="64"/>
    </row>
    <row r="644">
      <c r="I644" s="64"/>
    </row>
    <row r="645">
      <c r="I645" s="64"/>
    </row>
    <row r="646">
      <c r="I646" s="64"/>
    </row>
    <row r="647">
      <c r="I647" s="64"/>
    </row>
    <row r="648">
      <c r="I648" s="64"/>
    </row>
    <row r="649">
      <c r="I649" s="64"/>
    </row>
    <row r="650">
      <c r="I650" s="64"/>
    </row>
    <row r="651">
      <c r="I651" s="64"/>
    </row>
    <row r="652">
      <c r="I652" s="64"/>
    </row>
    <row r="653">
      <c r="I653" s="64"/>
    </row>
    <row r="654">
      <c r="I654" s="64"/>
    </row>
    <row r="655">
      <c r="I655" s="64"/>
    </row>
    <row r="656">
      <c r="I656" s="64"/>
    </row>
    <row r="657">
      <c r="I657" s="64"/>
    </row>
    <row r="658">
      <c r="I658" s="64"/>
    </row>
    <row r="659">
      <c r="I659" s="64"/>
    </row>
    <row r="660">
      <c r="I660" s="64"/>
    </row>
    <row r="661">
      <c r="I661" s="64"/>
    </row>
    <row r="662">
      <c r="I662" s="64"/>
    </row>
    <row r="663">
      <c r="I663" s="64"/>
    </row>
    <row r="664">
      <c r="I664" s="64"/>
    </row>
    <row r="665">
      <c r="I665" s="64"/>
    </row>
    <row r="666">
      <c r="I666" s="64"/>
    </row>
    <row r="667">
      <c r="I667" s="64"/>
    </row>
    <row r="668">
      <c r="I668" s="64"/>
    </row>
    <row r="669">
      <c r="I669" s="64"/>
    </row>
    <row r="670">
      <c r="I670" s="64"/>
    </row>
    <row r="671">
      <c r="I671" s="64"/>
    </row>
    <row r="672">
      <c r="I672" s="64"/>
    </row>
    <row r="673">
      <c r="I673" s="64"/>
    </row>
    <row r="674">
      <c r="I674" s="64"/>
    </row>
    <row r="675">
      <c r="I675" s="64"/>
    </row>
    <row r="676">
      <c r="I676" s="64"/>
    </row>
    <row r="677">
      <c r="I677" s="64"/>
    </row>
    <row r="678">
      <c r="I678" s="64"/>
    </row>
    <row r="679">
      <c r="I679" s="64"/>
    </row>
    <row r="680">
      <c r="I680" s="64"/>
    </row>
    <row r="681">
      <c r="I681" s="64"/>
    </row>
    <row r="682">
      <c r="I682" s="64"/>
    </row>
    <row r="683">
      <c r="I683" s="64"/>
    </row>
    <row r="684">
      <c r="I684" s="64"/>
    </row>
    <row r="685">
      <c r="I685" s="64"/>
    </row>
    <row r="686">
      <c r="I686" s="64"/>
    </row>
    <row r="687">
      <c r="I687" s="64"/>
    </row>
    <row r="688">
      <c r="I688" s="64"/>
    </row>
    <row r="689">
      <c r="I689" s="64"/>
    </row>
    <row r="690">
      <c r="I690" s="64"/>
    </row>
    <row r="691">
      <c r="I691" s="64"/>
    </row>
    <row r="692">
      <c r="I692" s="64"/>
    </row>
    <row r="693">
      <c r="I693" s="64"/>
    </row>
    <row r="694">
      <c r="I694" s="64"/>
    </row>
    <row r="695">
      <c r="I695" s="64"/>
    </row>
    <row r="696">
      <c r="I696" s="64"/>
    </row>
    <row r="697">
      <c r="I697" s="64"/>
    </row>
    <row r="698">
      <c r="I698" s="64"/>
    </row>
    <row r="699">
      <c r="I699" s="64"/>
    </row>
    <row r="700">
      <c r="I700" s="64"/>
    </row>
    <row r="701">
      <c r="I701" s="64"/>
    </row>
    <row r="702">
      <c r="I702" s="64"/>
    </row>
    <row r="703">
      <c r="I703" s="64"/>
    </row>
    <row r="704">
      <c r="I704" s="64"/>
    </row>
    <row r="705">
      <c r="I705" s="64"/>
    </row>
    <row r="706">
      <c r="I706" s="64"/>
    </row>
    <row r="707">
      <c r="I707" s="64"/>
    </row>
    <row r="708">
      <c r="I708" s="64"/>
    </row>
    <row r="709">
      <c r="I709" s="64"/>
    </row>
    <row r="710">
      <c r="I710" s="64"/>
    </row>
    <row r="711">
      <c r="I711" s="64"/>
    </row>
    <row r="712">
      <c r="I712" s="64"/>
    </row>
    <row r="713">
      <c r="I713" s="64"/>
    </row>
    <row r="714">
      <c r="I714" s="64"/>
    </row>
    <row r="715">
      <c r="I715" s="64"/>
    </row>
    <row r="716">
      <c r="I716" s="64"/>
    </row>
    <row r="717">
      <c r="I717" s="64"/>
    </row>
    <row r="718">
      <c r="I718" s="64"/>
    </row>
    <row r="719">
      <c r="I719" s="64"/>
    </row>
    <row r="720">
      <c r="I720" s="64"/>
    </row>
    <row r="721">
      <c r="I721" s="64"/>
    </row>
    <row r="722">
      <c r="I722" s="64"/>
    </row>
    <row r="723">
      <c r="I723" s="64"/>
    </row>
    <row r="724">
      <c r="I724" s="64"/>
    </row>
    <row r="725">
      <c r="I725" s="64"/>
    </row>
    <row r="726">
      <c r="I726" s="64"/>
    </row>
    <row r="727">
      <c r="I727" s="64"/>
    </row>
    <row r="728">
      <c r="I728" s="64"/>
    </row>
    <row r="729">
      <c r="I729" s="64"/>
    </row>
    <row r="730">
      <c r="I730" s="64"/>
    </row>
    <row r="731">
      <c r="I731" s="64"/>
    </row>
    <row r="732">
      <c r="I732" s="64"/>
    </row>
    <row r="733">
      <c r="I733" s="64"/>
    </row>
    <row r="734">
      <c r="I734" s="64"/>
    </row>
    <row r="735">
      <c r="I735" s="64"/>
    </row>
    <row r="736">
      <c r="I736" s="64"/>
    </row>
    <row r="737">
      <c r="I737" s="64"/>
    </row>
    <row r="738">
      <c r="I738" s="64"/>
    </row>
    <row r="739">
      <c r="I739" s="64"/>
    </row>
    <row r="740">
      <c r="I740" s="64"/>
    </row>
    <row r="741">
      <c r="I741" s="64"/>
    </row>
    <row r="742">
      <c r="I742" s="64"/>
    </row>
    <row r="743">
      <c r="I743" s="64"/>
    </row>
    <row r="744">
      <c r="I744" s="64"/>
    </row>
    <row r="745">
      <c r="I745" s="64"/>
    </row>
    <row r="746">
      <c r="I746" s="64"/>
    </row>
    <row r="747">
      <c r="I747" s="64"/>
    </row>
    <row r="748">
      <c r="I748" s="64"/>
    </row>
    <row r="749">
      <c r="I749" s="64"/>
    </row>
    <row r="750">
      <c r="I750" s="64"/>
    </row>
    <row r="751">
      <c r="I751" s="64"/>
    </row>
    <row r="752">
      <c r="I752" s="64"/>
    </row>
    <row r="753">
      <c r="I753" s="64"/>
    </row>
    <row r="754">
      <c r="I754" s="64"/>
    </row>
    <row r="755">
      <c r="I755" s="64"/>
    </row>
    <row r="756">
      <c r="I756" s="64"/>
    </row>
    <row r="757">
      <c r="I757" s="64"/>
    </row>
    <row r="758">
      <c r="I758" s="64"/>
    </row>
    <row r="759">
      <c r="I759" s="64"/>
    </row>
    <row r="760">
      <c r="I760" s="64"/>
    </row>
    <row r="761">
      <c r="I761" s="64"/>
    </row>
    <row r="762">
      <c r="I762" s="64"/>
    </row>
    <row r="763">
      <c r="I763" s="64"/>
    </row>
    <row r="764">
      <c r="I764" s="64"/>
    </row>
    <row r="765">
      <c r="I765" s="64"/>
    </row>
    <row r="766">
      <c r="I766" s="64"/>
    </row>
    <row r="767">
      <c r="I767" s="64"/>
    </row>
    <row r="768">
      <c r="I768" s="64"/>
    </row>
    <row r="769">
      <c r="I769" s="64"/>
    </row>
    <row r="770">
      <c r="I770" s="64"/>
    </row>
    <row r="771">
      <c r="I771" s="64"/>
    </row>
    <row r="772">
      <c r="I772" s="64"/>
    </row>
    <row r="773">
      <c r="I773" s="64"/>
    </row>
    <row r="774">
      <c r="I774" s="64"/>
    </row>
    <row r="775">
      <c r="I775" s="64"/>
    </row>
    <row r="776">
      <c r="I776" s="64"/>
    </row>
    <row r="777">
      <c r="I777" s="64"/>
    </row>
    <row r="778">
      <c r="I778" s="64"/>
    </row>
    <row r="779">
      <c r="I779" s="64"/>
    </row>
    <row r="780">
      <c r="I780" s="64"/>
    </row>
    <row r="781">
      <c r="I781" s="64"/>
    </row>
    <row r="782">
      <c r="I782" s="64"/>
    </row>
    <row r="783">
      <c r="I783" s="64"/>
    </row>
    <row r="784">
      <c r="I784" s="64"/>
    </row>
    <row r="785">
      <c r="I785" s="64"/>
    </row>
    <row r="786">
      <c r="I786" s="64"/>
    </row>
    <row r="787">
      <c r="I787" s="64"/>
    </row>
    <row r="788">
      <c r="I788" s="64"/>
    </row>
    <row r="789">
      <c r="I789" s="64"/>
    </row>
    <row r="790">
      <c r="I790" s="64"/>
    </row>
    <row r="791">
      <c r="I791" s="64"/>
    </row>
    <row r="792">
      <c r="I792" s="64"/>
    </row>
    <row r="793">
      <c r="I793" s="64"/>
    </row>
    <row r="794">
      <c r="I794" s="64"/>
    </row>
    <row r="795">
      <c r="I795" s="64"/>
    </row>
    <row r="796">
      <c r="I796" s="64"/>
    </row>
    <row r="797">
      <c r="I797" s="64"/>
    </row>
    <row r="798">
      <c r="I798" s="64"/>
    </row>
    <row r="799">
      <c r="I799" s="64"/>
    </row>
    <row r="800">
      <c r="I800" s="64"/>
    </row>
    <row r="801">
      <c r="I801" s="64"/>
    </row>
    <row r="802">
      <c r="I802" s="64"/>
    </row>
    <row r="803">
      <c r="I803" s="64"/>
    </row>
    <row r="804">
      <c r="I804" s="64"/>
    </row>
    <row r="805">
      <c r="I805" s="64"/>
    </row>
    <row r="806">
      <c r="I806" s="64"/>
    </row>
    <row r="807">
      <c r="I807" s="64"/>
    </row>
    <row r="808">
      <c r="I808" s="64"/>
    </row>
    <row r="809">
      <c r="I809" s="64"/>
    </row>
    <row r="810">
      <c r="I810" s="64"/>
    </row>
    <row r="811">
      <c r="I811" s="64"/>
    </row>
    <row r="812">
      <c r="I812" s="64"/>
    </row>
    <row r="813">
      <c r="I813" s="64"/>
    </row>
    <row r="814">
      <c r="I814" s="64"/>
    </row>
    <row r="815">
      <c r="I815" s="64"/>
    </row>
    <row r="816">
      <c r="I816" s="64"/>
    </row>
    <row r="817">
      <c r="I817" s="64"/>
    </row>
    <row r="818">
      <c r="I818" s="64"/>
    </row>
    <row r="819">
      <c r="I819" s="64"/>
    </row>
    <row r="820">
      <c r="I820" s="64"/>
    </row>
    <row r="821">
      <c r="I821" s="64"/>
    </row>
    <row r="822">
      <c r="I822" s="64"/>
    </row>
    <row r="823">
      <c r="I823" s="64"/>
    </row>
    <row r="824">
      <c r="I824" s="64"/>
    </row>
    <row r="825">
      <c r="I825" s="64"/>
    </row>
    <row r="826">
      <c r="I826" s="64"/>
    </row>
    <row r="827">
      <c r="I827" s="64"/>
    </row>
    <row r="828">
      <c r="I828" s="64"/>
    </row>
    <row r="829">
      <c r="I829" s="64"/>
    </row>
    <row r="830">
      <c r="I830" s="64"/>
    </row>
    <row r="831">
      <c r="I831" s="64"/>
    </row>
    <row r="832">
      <c r="I832" s="64"/>
    </row>
    <row r="833">
      <c r="I833" s="64"/>
    </row>
    <row r="834">
      <c r="I834" s="64"/>
    </row>
    <row r="835">
      <c r="I835" s="64"/>
    </row>
    <row r="836">
      <c r="I836" s="64"/>
    </row>
    <row r="837">
      <c r="I837" s="64"/>
    </row>
    <row r="838">
      <c r="I838" s="64"/>
    </row>
    <row r="839">
      <c r="I839" s="64"/>
    </row>
    <row r="840">
      <c r="I840" s="64"/>
    </row>
    <row r="841">
      <c r="I841" s="64"/>
    </row>
    <row r="842">
      <c r="I842" s="64"/>
    </row>
    <row r="843">
      <c r="I843" s="64"/>
    </row>
    <row r="844">
      <c r="I844" s="64"/>
    </row>
    <row r="845">
      <c r="I845" s="64"/>
    </row>
    <row r="846">
      <c r="I846" s="64"/>
    </row>
    <row r="847">
      <c r="I847" s="64"/>
    </row>
    <row r="848">
      <c r="I848" s="64"/>
    </row>
    <row r="849">
      <c r="I849" s="64"/>
    </row>
    <row r="850">
      <c r="I850" s="64"/>
    </row>
    <row r="851">
      <c r="I851" s="64"/>
    </row>
    <row r="852">
      <c r="I852" s="64"/>
    </row>
    <row r="853">
      <c r="I853" s="64"/>
    </row>
    <row r="854">
      <c r="I854" s="64"/>
    </row>
    <row r="855">
      <c r="I855" s="64"/>
    </row>
    <row r="856">
      <c r="I856" s="64"/>
    </row>
    <row r="857">
      <c r="I857" s="64"/>
    </row>
    <row r="858">
      <c r="I858" s="64"/>
    </row>
    <row r="859">
      <c r="I859" s="64"/>
    </row>
    <row r="860">
      <c r="I860" s="64"/>
    </row>
    <row r="861">
      <c r="I861" s="64"/>
    </row>
    <row r="862">
      <c r="I862" s="64"/>
    </row>
    <row r="863">
      <c r="I863" s="64"/>
    </row>
    <row r="864">
      <c r="I864" s="64"/>
    </row>
    <row r="865">
      <c r="I865" s="64"/>
    </row>
    <row r="866">
      <c r="I866" s="64"/>
    </row>
    <row r="867">
      <c r="I867" s="64"/>
    </row>
    <row r="868">
      <c r="I868" s="64"/>
    </row>
    <row r="869">
      <c r="I869" s="64"/>
    </row>
    <row r="870">
      <c r="I870" s="64"/>
    </row>
    <row r="871">
      <c r="I871" s="64"/>
    </row>
    <row r="872">
      <c r="I872" s="64"/>
    </row>
    <row r="873">
      <c r="I873" s="64"/>
    </row>
    <row r="874">
      <c r="I874" s="64"/>
    </row>
    <row r="875">
      <c r="I875" s="64"/>
    </row>
    <row r="876">
      <c r="I876" s="64"/>
    </row>
    <row r="877">
      <c r="I877" s="64"/>
    </row>
    <row r="878">
      <c r="I878" s="64"/>
    </row>
    <row r="879">
      <c r="I879" s="64"/>
    </row>
    <row r="880">
      <c r="I880" s="64"/>
    </row>
    <row r="881">
      <c r="I881" s="64"/>
    </row>
    <row r="882">
      <c r="I882" s="64"/>
    </row>
    <row r="883">
      <c r="I883" s="64"/>
    </row>
    <row r="884">
      <c r="I884" s="64"/>
    </row>
    <row r="885">
      <c r="I885" s="64"/>
    </row>
    <row r="886">
      <c r="I886" s="64"/>
    </row>
    <row r="887">
      <c r="I887" s="64"/>
    </row>
    <row r="888">
      <c r="I888" s="64"/>
    </row>
    <row r="889">
      <c r="I889" s="64"/>
    </row>
    <row r="890">
      <c r="I890" s="64"/>
    </row>
    <row r="891">
      <c r="I891" s="64"/>
    </row>
    <row r="892">
      <c r="I892" s="64"/>
    </row>
    <row r="893">
      <c r="I893" s="64"/>
    </row>
    <row r="894">
      <c r="I894" s="64"/>
    </row>
    <row r="895">
      <c r="I895" s="64"/>
    </row>
    <row r="896">
      <c r="I896" s="64"/>
    </row>
    <row r="897">
      <c r="I897" s="64"/>
    </row>
    <row r="898">
      <c r="I898" s="64"/>
    </row>
    <row r="899">
      <c r="I899" s="64"/>
    </row>
    <row r="900">
      <c r="I900" s="64"/>
    </row>
    <row r="901">
      <c r="I901" s="64"/>
    </row>
    <row r="902">
      <c r="I902" s="64"/>
    </row>
    <row r="903">
      <c r="I903" s="64"/>
    </row>
    <row r="904">
      <c r="I904" s="64"/>
    </row>
    <row r="905">
      <c r="I905" s="64"/>
    </row>
    <row r="906">
      <c r="I906" s="64"/>
    </row>
    <row r="907">
      <c r="I907" s="64"/>
    </row>
    <row r="908">
      <c r="I908" s="64"/>
    </row>
    <row r="909">
      <c r="I909" s="64"/>
    </row>
    <row r="910">
      <c r="I910" s="64"/>
    </row>
    <row r="911">
      <c r="I911" s="64"/>
    </row>
    <row r="912">
      <c r="I912" s="64"/>
    </row>
    <row r="913">
      <c r="I913" s="64"/>
    </row>
    <row r="914">
      <c r="I914" s="64"/>
    </row>
    <row r="915">
      <c r="I915" s="64"/>
    </row>
    <row r="916">
      <c r="I916" s="64"/>
    </row>
    <row r="917">
      <c r="I917" s="64"/>
    </row>
    <row r="918">
      <c r="I918" s="64"/>
    </row>
    <row r="919">
      <c r="I919" s="64"/>
    </row>
    <row r="920">
      <c r="I920" s="64"/>
    </row>
    <row r="921">
      <c r="I921" s="64"/>
    </row>
    <row r="922">
      <c r="I922" s="64"/>
    </row>
    <row r="923">
      <c r="I923" s="64"/>
    </row>
    <row r="924">
      <c r="I924" s="64"/>
    </row>
    <row r="925">
      <c r="I925" s="64"/>
    </row>
    <row r="926">
      <c r="I926" s="64"/>
    </row>
    <row r="927">
      <c r="I927" s="64"/>
    </row>
    <row r="928">
      <c r="I928" s="64"/>
    </row>
    <row r="929">
      <c r="I929" s="64"/>
    </row>
    <row r="930">
      <c r="I930" s="64"/>
    </row>
    <row r="931">
      <c r="I931" s="64"/>
    </row>
    <row r="932">
      <c r="I932" s="64"/>
    </row>
    <row r="933">
      <c r="I933" s="64"/>
    </row>
    <row r="934">
      <c r="I934" s="64"/>
    </row>
    <row r="935">
      <c r="I935" s="64"/>
    </row>
    <row r="936">
      <c r="I936" s="64"/>
    </row>
    <row r="937">
      <c r="I937" s="64"/>
    </row>
    <row r="938">
      <c r="I938" s="64"/>
    </row>
    <row r="939">
      <c r="I939" s="64"/>
    </row>
    <row r="940">
      <c r="I940" s="64"/>
    </row>
    <row r="941">
      <c r="I941" s="64"/>
    </row>
    <row r="942">
      <c r="I942" s="64"/>
    </row>
    <row r="943">
      <c r="I943" s="64"/>
    </row>
    <row r="944">
      <c r="I944" s="64"/>
    </row>
    <row r="945">
      <c r="I945" s="64"/>
    </row>
    <row r="946">
      <c r="I946" s="64"/>
    </row>
    <row r="947">
      <c r="I947" s="64"/>
    </row>
    <row r="948">
      <c r="I948" s="64"/>
    </row>
    <row r="949">
      <c r="I949" s="64"/>
    </row>
    <row r="950">
      <c r="I950" s="64"/>
    </row>
    <row r="951">
      <c r="I951" s="64"/>
    </row>
    <row r="952">
      <c r="I952" s="64"/>
    </row>
    <row r="953">
      <c r="I953" s="64"/>
    </row>
    <row r="954">
      <c r="I954" s="64"/>
    </row>
    <row r="955">
      <c r="I955" s="64"/>
    </row>
    <row r="956">
      <c r="I956" s="64"/>
    </row>
    <row r="957">
      <c r="I957" s="64"/>
    </row>
    <row r="958">
      <c r="I958" s="64"/>
    </row>
    <row r="959">
      <c r="I959" s="64"/>
    </row>
    <row r="960">
      <c r="I960" s="64"/>
    </row>
    <row r="961">
      <c r="I961" s="64"/>
    </row>
    <row r="962">
      <c r="I962" s="64"/>
    </row>
    <row r="963">
      <c r="I963" s="64"/>
    </row>
    <row r="964">
      <c r="I964" s="64"/>
    </row>
    <row r="965">
      <c r="I965" s="64"/>
    </row>
    <row r="966">
      <c r="I966" s="64"/>
    </row>
    <row r="967">
      <c r="I967" s="64"/>
    </row>
    <row r="968">
      <c r="I968" s="64"/>
    </row>
    <row r="969">
      <c r="I969" s="64"/>
    </row>
    <row r="970">
      <c r="I970" s="64"/>
    </row>
    <row r="971">
      <c r="I971" s="64"/>
    </row>
    <row r="972">
      <c r="I972" s="64"/>
    </row>
    <row r="973">
      <c r="I973" s="64"/>
    </row>
    <row r="974">
      <c r="I974" s="64"/>
    </row>
    <row r="975">
      <c r="I975" s="64"/>
    </row>
    <row r="976">
      <c r="I976" s="64"/>
    </row>
    <row r="977">
      <c r="I977" s="64"/>
    </row>
    <row r="978">
      <c r="I978" s="64"/>
    </row>
    <row r="979">
      <c r="I979" s="64"/>
    </row>
    <row r="980">
      <c r="I980" s="64"/>
    </row>
    <row r="981">
      <c r="I981" s="64"/>
    </row>
    <row r="982">
      <c r="I982" s="64"/>
    </row>
    <row r="983">
      <c r="I983" s="64"/>
    </row>
    <row r="984">
      <c r="I984" s="64"/>
    </row>
    <row r="985">
      <c r="I985" s="64"/>
    </row>
    <row r="986">
      <c r="I986" s="64"/>
    </row>
    <row r="987">
      <c r="I987" s="64"/>
    </row>
    <row r="988">
      <c r="I988" s="64"/>
    </row>
    <row r="989">
      <c r="I989" s="64"/>
    </row>
    <row r="990">
      <c r="I990" s="64"/>
    </row>
    <row r="991">
      <c r="I991" s="64"/>
    </row>
    <row r="992">
      <c r="I992" s="64"/>
    </row>
    <row r="993">
      <c r="I993" s="64"/>
    </row>
    <row r="994">
      <c r="I994" s="64"/>
    </row>
    <row r="995">
      <c r="I995" s="64"/>
    </row>
    <row r="996">
      <c r="I996" s="64"/>
    </row>
    <row r="997">
      <c r="I997" s="64"/>
    </row>
    <row r="998">
      <c r="I998" s="64"/>
    </row>
    <row r="999">
      <c r="I999" s="64"/>
    </row>
    <row r="1000">
      <c r="I1000" s="64"/>
    </row>
    <row r="1001">
      <c r="I1001" s="64"/>
    </row>
  </sheetData>
  <mergeCells count="19">
    <mergeCell ref="H1:I1"/>
    <mergeCell ref="J1:K1"/>
    <mergeCell ref="A2:A3"/>
    <mergeCell ref="B3:C3"/>
    <mergeCell ref="D3:E3"/>
    <mergeCell ref="F3:G3"/>
    <mergeCell ref="H3:K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X3:Y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35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</row>
    <row r="2">
      <c r="A2" s="73" t="s">
        <v>36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  <c r="M3" s="81"/>
      <c r="N3" s="81"/>
      <c r="O3" s="81"/>
      <c r="P3" s="81"/>
      <c r="Q3" s="81"/>
      <c r="R3" s="81"/>
      <c r="S3" s="81"/>
      <c r="T3" s="81"/>
      <c r="U3" s="81"/>
      <c r="V3" s="81"/>
      <c r="W3" s="82"/>
    </row>
    <row r="4">
      <c r="A4" s="83" t="s">
        <v>37</v>
      </c>
      <c r="B4" s="84"/>
      <c r="C4" s="85" t="s">
        <v>38</v>
      </c>
      <c r="D4" s="85" t="s">
        <v>39</v>
      </c>
      <c r="E4" s="85" t="s">
        <v>40</v>
      </c>
      <c r="F4" s="85" t="s">
        <v>41</v>
      </c>
      <c r="G4" s="85" t="s">
        <v>42</v>
      </c>
      <c r="H4" s="85" t="s">
        <v>43</v>
      </c>
      <c r="I4" s="85" t="s">
        <v>44</v>
      </c>
      <c r="J4" s="85" t="s">
        <v>45</v>
      </c>
      <c r="K4" s="85" t="s">
        <v>46</v>
      </c>
      <c r="L4" s="83" t="s">
        <v>47</v>
      </c>
      <c r="M4" s="84"/>
      <c r="N4" s="85" t="s">
        <v>48</v>
      </c>
      <c r="O4" s="85" t="s">
        <v>49</v>
      </c>
      <c r="P4" s="85" t="s">
        <v>50</v>
      </c>
      <c r="Q4" s="85" t="s">
        <v>51</v>
      </c>
      <c r="R4" s="85" t="s">
        <v>52</v>
      </c>
      <c r="S4" s="85" t="s">
        <v>53</v>
      </c>
      <c r="T4" s="85" t="s">
        <v>54</v>
      </c>
      <c r="U4" s="85" t="s">
        <v>55</v>
      </c>
      <c r="V4" s="85" t="s">
        <v>56</v>
      </c>
      <c r="W4" s="85" t="s">
        <v>57</v>
      </c>
    </row>
    <row r="5">
      <c r="A5" s="86" t="s">
        <v>58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4"/>
    </row>
    <row r="6">
      <c r="A6" s="88"/>
      <c r="B6" s="89" t="s">
        <v>59</v>
      </c>
      <c r="C6" s="89">
        <v>135.0</v>
      </c>
      <c r="D6" s="90"/>
      <c r="E6" s="91" t="s">
        <v>60</v>
      </c>
      <c r="F6" s="90"/>
      <c r="G6" s="92">
        <v>8.975</v>
      </c>
      <c r="H6" s="91">
        <v>28.2</v>
      </c>
      <c r="I6" s="90"/>
      <c r="J6" s="90"/>
      <c r="K6" s="90"/>
      <c r="L6" s="93" t="s">
        <v>61</v>
      </c>
      <c r="M6" s="84"/>
      <c r="N6" s="90"/>
      <c r="O6" s="90"/>
      <c r="P6" s="90"/>
      <c r="Q6" s="90"/>
      <c r="R6" s="90"/>
      <c r="S6" s="91" t="s">
        <v>61</v>
      </c>
      <c r="T6" s="90"/>
      <c r="U6" s="91" t="s">
        <v>61</v>
      </c>
      <c r="V6" s="90"/>
      <c r="W6" s="90"/>
    </row>
    <row r="7">
      <c r="A7" s="94"/>
      <c r="B7" s="89" t="s">
        <v>62</v>
      </c>
      <c r="C7" s="89">
        <v>17.0</v>
      </c>
      <c r="D7" s="91" t="s">
        <v>63</v>
      </c>
      <c r="E7" s="90"/>
      <c r="F7" s="90"/>
      <c r="G7" s="90"/>
      <c r="H7" s="90"/>
      <c r="I7" s="90"/>
      <c r="J7" s="90"/>
      <c r="K7" s="90"/>
      <c r="L7" s="95"/>
      <c r="M7" s="84"/>
      <c r="N7" s="90"/>
      <c r="O7" s="90"/>
      <c r="P7" s="90"/>
      <c r="Q7" s="90"/>
      <c r="R7" s="90"/>
      <c r="S7" s="90"/>
      <c r="T7" s="90"/>
      <c r="U7" s="90"/>
      <c r="V7" s="90"/>
      <c r="W7" s="91" t="s">
        <v>63</v>
      </c>
    </row>
    <row r="8">
      <c r="A8" s="94"/>
      <c r="B8" s="96"/>
      <c r="C8" s="97"/>
      <c r="D8" s="98"/>
      <c r="E8" s="98"/>
      <c r="F8" s="98"/>
      <c r="G8" s="98"/>
      <c r="H8" s="98"/>
      <c r="I8" s="98"/>
      <c r="J8" s="98"/>
      <c r="K8" s="98"/>
      <c r="L8" s="99"/>
      <c r="M8" s="100"/>
      <c r="N8" s="98"/>
      <c r="O8" s="98"/>
      <c r="P8" s="98"/>
      <c r="Q8" s="98"/>
      <c r="R8" s="98"/>
      <c r="S8" s="98"/>
      <c r="T8" s="98"/>
      <c r="U8" s="98"/>
      <c r="V8" s="98"/>
      <c r="W8" s="101"/>
    </row>
    <row r="9">
      <c r="A9" s="94"/>
      <c r="B9" s="102"/>
      <c r="C9" s="103"/>
      <c r="D9" s="104" t="s">
        <v>63</v>
      </c>
      <c r="E9" s="104" t="s">
        <v>60</v>
      </c>
      <c r="F9" s="105"/>
      <c r="G9" s="106">
        <v>8.975</v>
      </c>
      <c r="H9" s="104">
        <v>28.2</v>
      </c>
      <c r="I9" s="105"/>
      <c r="J9" s="105"/>
      <c r="K9" s="105"/>
      <c r="L9" s="107" t="s">
        <v>61</v>
      </c>
      <c r="M9" s="84"/>
      <c r="N9" s="105"/>
      <c r="O9" s="105"/>
      <c r="P9" s="105"/>
      <c r="Q9" s="105"/>
      <c r="R9" s="105"/>
      <c r="S9" s="104" t="s">
        <v>61</v>
      </c>
      <c r="T9" s="105"/>
      <c r="U9" s="104" t="s">
        <v>61</v>
      </c>
      <c r="V9" s="105"/>
      <c r="W9" s="104" t="s">
        <v>63</v>
      </c>
    </row>
    <row r="10">
      <c r="A10" s="108"/>
      <c r="B10" s="109"/>
      <c r="C10" s="80"/>
      <c r="D10" s="98"/>
      <c r="E10" s="98"/>
      <c r="F10" s="98"/>
      <c r="G10" s="98"/>
      <c r="H10" s="98"/>
      <c r="I10" s="98"/>
      <c r="J10" s="98"/>
      <c r="K10" s="98"/>
      <c r="L10" s="99"/>
      <c r="M10" s="100"/>
      <c r="N10" s="98"/>
      <c r="O10" s="98"/>
      <c r="P10" s="98"/>
      <c r="Q10" s="98"/>
      <c r="R10" s="98"/>
      <c r="S10" s="98"/>
      <c r="T10" s="98"/>
      <c r="U10" s="98"/>
      <c r="V10" s="98"/>
      <c r="W10" s="101"/>
    </row>
    <row r="11">
      <c r="A11" s="86" t="s">
        <v>64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4"/>
    </row>
    <row r="12">
      <c r="A12" s="88"/>
      <c r="B12" s="89" t="s">
        <v>65</v>
      </c>
      <c r="C12" s="89">
        <v>16.0</v>
      </c>
      <c r="D12" s="90"/>
      <c r="E12" s="91" t="s">
        <v>66</v>
      </c>
      <c r="F12" s="90"/>
      <c r="G12" s="90"/>
      <c r="H12" s="91">
        <v>26.0</v>
      </c>
      <c r="I12" s="90"/>
      <c r="J12" s="90"/>
      <c r="K12" s="90"/>
      <c r="L12" s="95"/>
      <c r="M12" s="84"/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>
      <c r="A13" s="94"/>
      <c r="B13" s="89" t="s">
        <v>67</v>
      </c>
      <c r="C13" s="89">
        <v>175.0</v>
      </c>
      <c r="D13" s="90"/>
      <c r="E13" s="91" t="s">
        <v>68</v>
      </c>
      <c r="F13" s="90"/>
      <c r="G13" s="92">
        <v>6.911111111111111</v>
      </c>
      <c r="H13" s="91">
        <v>27.7</v>
      </c>
      <c r="I13" s="91" t="s">
        <v>69</v>
      </c>
      <c r="J13" s="91" t="s">
        <v>70</v>
      </c>
      <c r="K13" s="90"/>
      <c r="L13" s="93" t="s">
        <v>71</v>
      </c>
      <c r="M13" s="84"/>
      <c r="N13" s="90"/>
      <c r="O13" s="91">
        <v>-473.31</v>
      </c>
      <c r="P13" s="90"/>
      <c r="Q13" s="90"/>
      <c r="R13" s="90"/>
      <c r="S13" s="91" t="s">
        <v>72</v>
      </c>
      <c r="T13" s="90"/>
      <c r="U13" s="91" t="s">
        <v>72</v>
      </c>
      <c r="V13" s="90"/>
      <c r="W13" s="90"/>
    </row>
    <row r="14">
      <c r="A14" s="94"/>
      <c r="B14" s="89" t="s">
        <v>73</v>
      </c>
      <c r="C14" s="89">
        <v>164.0</v>
      </c>
      <c r="D14" s="90"/>
      <c r="E14" s="91" t="s">
        <v>68</v>
      </c>
      <c r="F14" s="90"/>
      <c r="G14" s="92">
        <v>5.375694444444444</v>
      </c>
      <c r="H14" s="91">
        <v>27.7</v>
      </c>
      <c r="I14" s="91" t="s">
        <v>74</v>
      </c>
      <c r="J14" s="91" t="s">
        <v>75</v>
      </c>
      <c r="K14" s="90"/>
      <c r="L14" s="93" t="s">
        <v>76</v>
      </c>
      <c r="M14" s="84"/>
      <c r="N14" s="90"/>
      <c r="O14" s="91">
        <v>-0.47</v>
      </c>
      <c r="P14" s="90"/>
      <c r="Q14" s="90"/>
      <c r="R14" s="90"/>
      <c r="S14" s="91" t="s">
        <v>77</v>
      </c>
      <c r="T14" s="90"/>
      <c r="U14" s="91" t="s">
        <v>77</v>
      </c>
      <c r="V14" s="90"/>
      <c r="W14" s="90"/>
    </row>
    <row r="15">
      <c r="A15" s="94"/>
      <c r="B15" s="89" t="s">
        <v>78</v>
      </c>
      <c r="C15" s="89">
        <v>165.0</v>
      </c>
      <c r="D15" s="90"/>
      <c r="E15" s="91" t="s">
        <v>68</v>
      </c>
      <c r="F15" s="90"/>
      <c r="G15" s="92">
        <v>8.69513888888889</v>
      </c>
      <c r="H15" s="91">
        <v>27.7</v>
      </c>
      <c r="I15" s="91" t="s">
        <v>79</v>
      </c>
      <c r="J15" s="91" t="s">
        <v>80</v>
      </c>
      <c r="K15" s="90"/>
      <c r="L15" s="93" t="s">
        <v>81</v>
      </c>
      <c r="M15" s="84"/>
      <c r="N15" s="90"/>
      <c r="O15" s="91">
        <v>-5.1</v>
      </c>
      <c r="P15" s="90"/>
      <c r="Q15" s="90"/>
      <c r="R15" s="90"/>
      <c r="S15" s="91" t="s">
        <v>82</v>
      </c>
      <c r="T15" s="90"/>
      <c r="U15" s="91" t="s">
        <v>82</v>
      </c>
      <c r="V15" s="90"/>
      <c r="W15" s="90"/>
    </row>
    <row r="16">
      <c r="A16" s="94"/>
      <c r="B16" s="89" t="s">
        <v>83</v>
      </c>
      <c r="C16" s="89">
        <v>199.0</v>
      </c>
      <c r="D16" s="90"/>
      <c r="E16" s="91" t="s">
        <v>68</v>
      </c>
      <c r="F16" s="90"/>
      <c r="G16" s="110">
        <v>0.9375</v>
      </c>
      <c r="H16" s="91">
        <v>27.7</v>
      </c>
      <c r="I16" s="90"/>
      <c r="J16" s="90"/>
      <c r="K16" s="90"/>
      <c r="L16" s="93">
        <v>623.25</v>
      </c>
      <c r="M16" s="84"/>
      <c r="N16" s="90"/>
      <c r="O16" s="90"/>
      <c r="P16" s="90"/>
      <c r="Q16" s="90"/>
      <c r="R16" s="90"/>
      <c r="S16" s="91">
        <v>623.25</v>
      </c>
      <c r="T16" s="90"/>
      <c r="U16" s="91">
        <v>623.25</v>
      </c>
      <c r="V16" s="90"/>
      <c r="W16" s="90"/>
    </row>
    <row r="17">
      <c r="A17" s="94"/>
      <c r="B17" s="96"/>
      <c r="C17" s="97"/>
      <c r="D17" s="98"/>
      <c r="E17" s="98"/>
      <c r="F17" s="98"/>
      <c r="G17" s="98"/>
      <c r="H17" s="98"/>
      <c r="I17" s="98"/>
      <c r="J17" s="98"/>
      <c r="K17" s="98"/>
      <c r="L17" s="99"/>
      <c r="M17" s="100"/>
      <c r="N17" s="98"/>
      <c r="O17" s="98"/>
      <c r="P17" s="98"/>
      <c r="Q17" s="98"/>
      <c r="R17" s="98"/>
      <c r="S17" s="98"/>
      <c r="T17" s="98"/>
      <c r="U17" s="98"/>
      <c r="V17" s="98"/>
      <c r="W17" s="101"/>
    </row>
    <row r="18">
      <c r="A18" s="94"/>
      <c r="B18" s="102"/>
      <c r="C18" s="103"/>
      <c r="D18" s="105"/>
      <c r="E18" s="104" t="s">
        <v>84</v>
      </c>
      <c r="F18" s="105"/>
      <c r="G18" s="106">
        <v>21.919444444444444</v>
      </c>
      <c r="H18" s="104">
        <v>136.8</v>
      </c>
      <c r="I18" s="104" t="s">
        <v>85</v>
      </c>
      <c r="J18" s="104" t="s">
        <v>86</v>
      </c>
      <c r="K18" s="105"/>
      <c r="L18" s="107" t="s">
        <v>87</v>
      </c>
      <c r="M18" s="84"/>
      <c r="N18" s="105"/>
      <c r="O18" s="104">
        <v>-478.88</v>
      </c>
      <c r="P18" s="105"/>
      <c r="Q18" s="105"/>
      <c r="R18" s="105"/>
      <c r="S18" s="104" t="s">
        <v>88</v>
      </c>
      <c r="T18" s="105"/>
      <c r="U18" s="104" t="s">
        <v>88</v>
      </c>
      <c r="V18" s="105"/>
      <c r="W18" s="105"/>
    </row>
    <row r="19">
      <c r="A19" s="108"/>
      <c r="B19" s="109"/>
      <c r="C19" s="80"/>
      <c r="D19" s="98"/>
      <c r="E19" s="98"/>
      <c r="F19" s="98"/>
      <c r="G19" s="98"/>
      <c r="H19" s="98"/>
      <c r="I19" s="98"/>
      <c r="J19" s="98"/>
      <c r="K19" s="98"/>
      <c r="L19" s="99"/>
      <c r="M19" s="100"/>
      <c r="N19" s="98"/>
      <c r="O19" s="98"/>
      <c r="P19" s="98"/>
      <c r="Q19" s="98"/>
      <c r="R19" s="98"/>
      <c r="S19" s="98"/>
      <c r="T19" s="98"/>
      <c r="U19" s="98"/>
      <c r="V19" s="98"/>
      <c r="W19" s="101"/>
    </row>
    <row r="20">
      <c r="A20" s="86" t="s">
        <v>89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4"/>
    </row>
    <row r="21">
      <c r="A21" s="88"/>
      <c r="B21" s="89" t="s">
        <v>90</v>
      </c>
      <c r="C21" s="89">
        <v>6.0</v>
      </c>
      <c r="D21" s="90"/>
      <c r="E21" s="91" t="s">
        <v>91</v>
      </c>
      <c r="F21" s="90"/>
      <c r="G21" s="92">
        <v>7.363194444444445</v>
      </c>
      <c r="H21" s="91">
        <v>35.0</v>
      </c>
      <c r="I21" s="91">
        <v>129.05</v>
      </c>
      <c r="J21" s="90"/>
      <c r="K21" s="90"/>
      <c r="L21" s="93" t="s">
        <v>92</v>
      </c>
      <c r="M21" s="84"/>
      <c r="N21" s="90"/>
      <c r="O21" s="90"/>
      <c r="P21" s="90"/>
      <c r="Q21" s="90"/>
      <c r="R21" s="90"/>
      <c r="S21" s="91" t="s">
        <v>92</v>
      </c>
      <c r="T21" s="90"/>
      <c r="U21" s="91" t="s">
        <v>92</v>
      </c>
      <c r="V21" s="90"/>
      <c r="W21" s="90"/>
    </row>
    <row r="22">
      <c r="A22" s="94"/>
      <c r="B22" s="96"/>
      <c r="C22" s="97"/>
      <c r="D22" s="98"/>
      <c r="E22" s="98"/>
      <c r="F22" s="98"/>
      <c r="G22" s="98"/>
      <c r="H22" s="98"/>
      <c r="I22" s="98"/>
      <c r="J22" s="98"/>
      <c r="K22" s="98"/>
      <c r="L22" s="99"/>
      <c r="M22" s="100"/>
      <c r="N22" s="98"/>
      <c r="O22" s="98"/>
      <c r="P22" s="98"/>
      <c r="Q22" s="98"/>
      <c r="R22" s="98"/>
      <c r="S22" s="98"/>
      <c r="T22" s="98"/>
      <c r="U22" s="98"/>
      <c r="V22" s="98"/>
      <c r="W22" s="101"/>
    </row>
    <row r="23">
      <c r="A23" s="94"/>
      <c r="B23" s="102"/>
      <c r="C23" s="103"/>
      <c r="D23" s="105"/>
      <c r="E23" s="104" t="s">
        <v>91</v>
      </c>
      <c r="F23" s="105"/>
      <c r="G23" s="106">
        <v>7.363194444444445</v>
      </c>
      <c r="H23" s="104">
        <v>35.0</v>
      </c>
      <c r="I23" s="104">
        <v>129.05</v>
      </c>
      <c r="J23" s="105"/>
      <c r="K23" s="105"/>
      <c r="L23" s="107" t="s">
        <v>92</v>
      </c>
      <c r="M23" s="84"/>
      <c r="N23" s="105"/>
      <c r="O23" s="105"/>
      <c r="P23" s="105"/>
      <c r="Q23" s="105"/>
      <c r="R23" s="105"/>
      <c r="S23" s="104" t="s">
        <v>92</v>
      </c>
      <c r="T23" s="105"/>
      <c r="U23" s="104" t="s">
        <v>92</v>
      </c>
      <c r="V23" s="105"/>
      <c r="W23" s="105"/>
    </row>
    <row r="24">
      <c r="A24" s="108"/>
      <c r="B24" s="109"/>
      <c r="C24" s="80"/>
      <c r="D24" s="98"/>
      <c r="E24" s="98"/>
      <c r="F24" s="98"/>
      <c r="G24" s="98"/>
      <c r="H24" s="98"/>
      <c r="I24" s="98"/>
      <c r="J24" s="98"/>
      <c r="K24" s="98"/>
      <c r="L24" s="99"/>
      <c r="M24" s="100"/>
      <c r="N24" s="98"/>
      <c r="O24" s="98"/>
      <c r="P24" s="98"/>
      <c r="Q24" s="98"/>
      <c r="R24" s="98"/>
      <c r="S24" s="98"/>
      <c r="T24" s="98"/>
      <c r="U24" s="98"/>
      <c r="V24" s="98"/>
      <c r="W24" s="101"/>
    </row>
    <row r="25">
      <c r="A25" s="86" t="s">
        <v>93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4"/>
    </row>
    <row r="26">
      <c r="A26" s="88"/>
      <c r="B26" s="89" t="s">
        <v>94</v>
      </c>
      <c r="C26" s="89">
        <v>50.0</v>
      </c>
      <c r="D26" s="90"/>
      <c r="E26" s="91" t="s">
        <v>95</v>
      </c>
      <c r="F26" s="90"/>
      <c r="G26" s="92">
        <v>8.71875</v>
      </c>
      <c r="H26" s="91">
        <v>27.0</v>
      </c>
      <c r="I26" s="90"/>
      <c r="J26" s="90"/>
      <c r="K26" s="90"/>
      <c r="L26" s="93" t="s">
        <v>96</v>
      </c>
      <c r="M26" s="84"/>
      <c r="N26" s="90"/>
      <c r="O26" s="91">
        <v>-578.43</v>
      </c>
      <c r="P26" s="90"/>
      <c r="Q26" s="90"/>
      <c r="R26" s="90"/>
      <c r="S26" s="91" t="s">
        <v>97</v>
      </c>
      <c r="T26" s="90"/>
      <c r="U26" s="91" t="s">
        <v>97</v>
      </c>
      <c r="V26" s="90"/>
      <c r="W26" s="90"/>
    </row>
    <row r="27">
      <c r="A27" s="94"/>
      <c r="B27" s="89" t="s">
        <v>98</v>
      </c>
      <c r="C27" s="89">
        <v>173.0</v>
      </c>
      <c r="D27" s="91" t="s">
        <v>99</v>
      </c>
      <c r="E27" s="90"/>
      <c r="F27" s="90"/>
      <c r="G27" s="92">
        <v>2.277083333333333</v>
      </c>
      <c r="H27" s="90"/>
      <c r="I27" s="90"/>
      <c r="J27" s="90"/>
      <c r="K27" s="90"/>
      <c r="L27" s="93" t="s">
        <v>100</v>
      </c>
      <c r="M27" s="84"/>
      <c r="N27" s="90"/>
      <c r="O27" s="90"/>
      <c r="P27" s="90"/>
      <c r="Q27" s="90"/>
      <c r="R27" s="90"/>
      <c r="S27" s="91" t="s">
        <v>100</v>
      </c>
      <c r="T27" s="90"/>
      <c r="U27" s="90"/>
      <c r="V27" s="91" t="s">
        <v>100</v>
      </c>
      <c r="W27" s="91" t="s">
        <v>101</v>
      </c>
    </row>
    <row r="28">
      <c r="A28" s="94"/>
      <c r="B28" s="96"/>
      <c r="C28" s="97"/>
      <c r="D28" s="98"/>
      <c r="E28" s="98"/>
      <c r="F28" s="98"/>
      <c r="G28" s="98"/>
      <c r="H28" s="98"/>
      <c r="I28" s="98"/>
      <c r="J28" s="98"/>
      <c r="K28" s="98"/>
      <c r="L28" s="99"/>
      <c r="M28" s="100"/>
      <c r="N28" s="98"/>
      <c r="O28" s="98"/>
      <c r="P28" s="98"/>
      <c r="Q28" s="98"/>
      <c r="R28" s="98"/>
      <c r="S28" s="98"/>
      <c r="T28" s="98"/>
      <c r="U28" s="98"/>
      <c r="V28" s="98"/>
      <c r="W28" s="101"/>
    </row>
    <row r="29">
      <c r="A29" s="94"/>
      <c r="B29" s="102"/>
      <c r="C29" s="103"/>
      <c r="D29" s="104" t="s">
        <v>99</v>
      </c>
      <c r="E29" s="104" t="s">
        <v>95</v>
      </c>
      <c r="F29" s="105"/>
      <c r="G29" s="106">
        <v>10.995833333333334</v>
      </c>
      <c r="H29" s="104">
        <v>27.0</v>
      </c>
      <c r="I29" s="105"/>
      <c r="J29" s="105"/>
      <c r="K29" s="105"/>
      <c r="L29" s="107" t="s">
        <v>102</v>
      </c>
      <c r="M29" s="84"/>
      <c r="N29" s="105"/>
      <c r="O29" s="104">
        <v>-578.43</v>
      </c>
      <c r="P29" s="105"/>
      <c r="Q29" s="105"/>
      <c r="R29" s="105"/>
      <c r="S29" s="104" t="s">
        <v>103</v>
      </c>
      <c r="T29" s="105"/>
      <c r="U29" s="104" t="s">
        <v>97</v>
      </c>
      <c r="V29" s="104" t="s">
        <v>100</v>
      </c>
      <c r="W29" s="104" t="s">
        <v>101</v>
      </c>
    </row>
    <row r="30">
      <c r="A30" s="108"/>
      <c r="B30" s="109"/>
      <c r="C30" s="80"/>
      <c r="D30" s="98"/>
      <c r="E30" s="98"/>
      <c r="F30" s="98"/>
      <c r="G30" s="98"/>
      <c r="H30" s="98"/>
      <c r="I30" s="98"/>
      <c r="J30" s="98"/>
      <c r="K30" s="98"/>
      <c r="L30" s="99"/>
      <c r="M30" s="100"/>
      <c r="N30" s="98"/>
      <c r="O30" s="98"/>
      <c r="P30" s="98"/>
      <c r="Q30" s="98"/>
      <c r="R30" s="98"/>
      <c r="S30" s="98"/>
      <c r="T30" s="98"/>
      <c r="U30" s="98"/>
      <c r="V30" s="98"/>
      <c r="W30" s="101"/>
    </row>
    <row r="31">
      <c r="A31" s="86" t="s">
        <v>104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4"/>
    </row>
    <row r="32">
      <c r="A32" s="88"/>
      <c r="B32" s="89" t="s">
        <v>105</v>
      </c>
      <c r="C32" s="89">
        <v>11.0</v>
      </c>
      <c r="D32" s="90"/>
      <c r="E32" s="91" t="s">
        <v>106</v>
      </c>
      <c r="F32" s="90"/>
      <c r="G32" s="92">
        <v>10.478472222222223</v>
      </c>
      <c r="H32" s="91">
        <v>29.0</v>
      </c>
      <c r="I32" s="90"/>
      <c r="J32" s="90"/>
      <c r="K32" s="90"/>
      <c r="L32" s="93" t="s">
        <v>107</v>
      </c>
      <c r="M32" s="84"/>
      <c r="N32" s="90"/>
      <c r="O32" s="91">
        <v>-66.03</v>
      </c>
      <c r="P32" s="90"/>
      <c r="Q32" s="90"/>
      <c r="R32" s="90"/>
      <c r="S32" s="91" t="s">
        <v>108</v>
      </c>
      <c r="T32" s="90"/>
      <c r="U32" s="91" t="s">
        <v>108</v>
      </c>
      <c r="V32" s="90"/>
      <c r="W32" s="90"/>
    </row>
    <row r="33">
      <c r="A33" s="94"/>
      <c r="B33" s="89" t="s">
        <v>98</v>
      </c>
      <c r="C33" s="89">
        <v>173.0</v>
      </c>
      <c r="D33" s="91" t="s">
        <v>109</v>
      </c>
      <c r="E33" s="91" t="s">
        <v>110</v>
      </c>
      <c r="F33" s="90"/>
      <c r="G33" s="92">
        <v>7.354861111111111</v>
      </c>
      <c r="H33" s="91">
        <v>29.2</v>
      </c>
      <c r="I33" s="90"/>
      <c r="J33" s="90"/>
      <c r="K33" s="90"/>
      <c r="L33" s="93" t="s">
        <v>111</v>
      </c>
      <c r="M33" s="84"/>
      <c r="N33" s="90"/>
      <c r="O33" s="91">
        <v>-83.44</v>
      </c>
      <c r="P33" s="90"/>
      <c r="Q33" s="90"/>
      <c r="R33" s="90"/>
      <c r="S33" s="91" t="s">
        <v>112</v>
      </c>
      <c r="T33" s="90"/>
      <c r="U33" s="91" t="s">
        <v>113</v>
      </c>
      <c r="V33" s="91" t="s">
        <v>114</v>
      </c>
      <c r="W33" s="91" t="s">
        <v>115</v>
      </c>
    </row>
    <row r="34">
      <c r="A34" s="94"/>
      <c r="B34" s="89" t="s">
        <v>116</v>
      </c>
      <c r="C34" s="89">
        <v>51.0</v>
      </c>
      <c r="D34" s="90"/>
      <c r="E34" s="91" t="s">
        <v>110</v>
      </c>
      <c r="F34" s="90"/>
      <c r="G34" s="92">
        <v>8.909722222222221</v>
      </c>
      <c r="H34" s="91">
        <v>29.2</v>
      </c>
      <c r="I34" s="90"/>
      <c r="J34" s="90"/>
      <c r="K34" s="90"/>
      <c r="L34" s="93" t="s">
        <v>117</v>
      </c>
      <c r="M34" s="84"/>
      <c r="N34" s="90"/>
      <c r="O34" s="91" t="s">
        <v>118</v>
      </c>
      <c r="P34" s="90"/>
      <c r="Q34" s="90"/>
      <c r="R34" s="90"/>
      <c r="S34" s="91" t="s">
        <v>119</v>
      </c>
      <c r="T34" s="90"/>
      <c r="U34" s="91" t="s">
        <v>119</v>
      </c>
      <c r="V34" s="90"/>
      <c r="W34" s="90"/>
    </row>
    <row r="35">
      <c r="A35" s="94"/>
      <c r="B35" s="96"/>
      <c r="C35" s="97"/>
      <c r="D35" s="98"/>
      <c r="E35" s="98"/>
      <c r="F35" s="98"/>
      <c r="G35" s="98"/>
      <c r="H35" s="98"/>
      <c r="I35" s="98"/>
      <c r="J35" s="98"/>
      <c r="K35" s="98"/>
      <c r="L35" s="99"/>
      <c r="M35" s="100"/>
      <c r="N35" s="98"/>
      <c r="O35" s="98"/>
      <c r="P35" s="98"/>
      <c r="Q35" s="98"/>
      <c r="R35" s="98"/>
      <c r="S35" s="98"/>
      <c r="T35" s="98"/>
      <c r="U35" s="98"/>
      <c r="V35" s="98"/>
      <c r="W35" s="101"/>
    </row>
    <row r="36">
      <c r="A36" s="94"/>
      <c r="B36" s="102"/>
      <c r="C36" s="103"/>
      <c r="D36" s="104" t="s">
        <v>109</v>
      </c>
      <c r="E36" s="104" t="s">
        <v>120</v>
      </c>
      <c r="F36" s="105"/>
      <c r="G36" s="106">
        <v>26.743055555555557</v>
      </c>
      <c r="H36" s="104">
        <v>87.4</v>
      </c>
      <c r="I36" s="105"/>
      <c r="J36" s="105"/>
      <c r="K36" s="105"/>
      <c r="L36" s="107" t="s">
        <v>121</v>
      </c>
      <c r="M36" s="84"/>
      <c r="N36" s="105"/>
      <c r="O36" s="104" t="s">
        <v>122</v>
      </c>
      <c r="P36" s="105"/>
      <c r="Q36" s="105"/>
      <c r="R36" s="105"/>
      <c r="S36" s="104" t="s">
        <v>123</v>
      </c>
      <c r="T36" s="105"/>
      <c r="U36" s="104" t="s">
        <v>124</v>
      </c>
      <c r="V36" s="104" t="s">
        <v>114</v>
      </c>
      <c r="W36" s="104" t="s">
        <v>115</v>
      </c>
    </row>
    <row r="37">
      <c r="A37" s="108"/>
      <c r="B37" s="109"/>
      <c r="C37" s="80"/>
      <c r="D37" s="98"/>
      <c r="E37" s="98"/>
      <c r="F37" s="98"/>
      <c r="G37" s="98"/>
      <c r="H37" s="98"/>
      <c r="I37" s="98"/>
      <c r="J37" s="98"/>
      <c r="K37" s="98"/>
      <c r="L37" s="99"/>
      <c r="M37" s="100"/>
      <c r="N37" s="98"/>
      <c r="O37" s="98"/>
      <c r="P37" s="98"/>
      <c r="Q37" s="98"/>
      <c r="R37" s="98"/>
      <c r="S37" s="98"/>
      <c r="T37" s="98"/>
      <c r="U37" s="98"/>
      <c r="V37" s="98"/>
      <c r="W37" s="101"/>
    </row>
    <row r="38">
      <c r="A38" s="86" t="s">
        <v>125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4"/>
    </row>
    <row r="39">
      <c r="A39" s="88"/>
      <c r="B39" s="89" t="s">
        <v>126</v>
      </c>
      <c r="C39" s="89">
        <v>12.0</v>
      </c>
      <c r="D39" s="90"/>
      <c r="E39" s="91" t="s">
        <v>127</v>
      </c>
      <c r="F39" s="90"/>
      <c r="G39" s="92">
        <v>7.518055555555556</v>
      </c>
      <c r="H39" s="91">
        <v>28.5</v>
      </c>
      <c r="I39" s="90"/>
      <c r="J39" s="90"/>
      <c r="K39" s="90"/>
      <c r="L39" s="93" t="s">
        <v>128</v>
      </c>
      <c r="M39" s="84"/>
      <c r="N39" s="90"/>
      <c r="O39" s="91">
        <v>-368.65</v>
      </c>
      <c r="P39" s="90"/>
      <c r="Q39" s="90"/>
      <c r="R39" s="90"/>
      <c r="S39" s="91" t="s">
        <v>129</v>
      </c>
      <c r="T39" s="90"/>
      <c r="U39" s="91" t="s">
        <v>129</v>
      </c>
      <c r="V39" s="90"/>
      <c r="W39" s="90"/>
    </row>
    <row r="40">
      <c r="A40" s="94"/>
      <c r="B40" s="89" t="s">
        <v>130</v>
      </c>
      <c r="C40" s="89">
        <v>23.0</v>
      </c>
      <c r="D40" s="90"/>
      <c r="E40" s="91" t="s">
        <v>127</v>
      </c>
      <c r="F40" s="90"/>
      <c r="G40" s="92">
        <v>8.626388888888888</v>
      </c>
      <c r="H40" s="91">
        <v>28.5</v>
      </c>
      <c r="I40" s="90"/>
      <c r="J40" s="90"/>
      <c r="K40" s="90"/>
      <c r="L40" s="93" t="s">
        <v>131</v>
      </c>
      <c r="M40" s="84"/>
      <c r="N40" s="90"/>
      <c r="O40" s="91">
        <v>-371.52</v>
      </c>
      <c r="P40" s="90"/>
      <c r="Q40" s="90"/>
      <c r="R40" s="90"/>
      <c r="S40" s="91" t="s">
        <v>132</v>
      </c>
      <c r="T40" s="90"/>
      <c r="U40" s="91" t="s">
        <v>132</v>
      </c>
      <c r="V40" s="90"/>
      <c r="W40" s="90"/>
    </row>
    <row r="41">
      <c r="A41" s="94"/>
      <c r="B41" s="96"/>
      <c r="C41" s="97"/>
      <c r="D41" s="98"/>
      <c r="E41" s="98"/>
      <c r="F41" s="98"/>
      <c r="G41" s="98"/>
      <c r="H41" s="98"/>
      <c r="I41" s="98"/>
      <c r="J41" s="98"/>
      <c r="K41" s="98"/>
      <c r="L41" s="99"/>
      <c r="M41" s="100"/>
      <c r="N41" s="98"/>
      <c r="O41" s="98"/>
      <c r="P41" s="98"/>
      <c r="Q41" s="98"/>
      <c r="R41" s="98"/>
      <c r="S41" s="98"/>
      <c r="T41" s="98"/>
      <c r="U41" s="98"/>
      <c r="V41" s="98"/>
      <c r="W41" s="101"/>
    </row>
    <row r="42">
      <c r="A42" s="94"/>
      <c r="B42" s="102"/>
      <c r="C42" s="103"/>
      <c r="D42" s="105"/>
      <c r="E42" s="104" t="s">
        <v>133</v>
      </c>
      <c r="F42" s="105"/>
      <c r="G42" s="106">
        <v>16.144444444444446</v>
      </c>
      <c r="H42" s="104">
        <v>57.0</v>
      </c>
      <c r="I42" s="105"/>
      <c r="J42" s="105"/>
      <c r="K42" s="105"/>
      <c r="L42" s="107" t="s">
        <v>134</v>
      </c>
      <c r="M42" s="84"/>
      <c r="N42" s="105"/>
      <c r="O42" s="104">
        <v>-740.17</v>
      </c>
      <c r="P42" s="105"/>
      <c r="Q42" s="105"/>
      <c r="R42" s="105"/>
      <c r="S42" s="104" t="s">
        <v>135</v>
      </c>
      <c r="T42" s="105"/>
      <c r="U42" s="104" t="s">
        <v>135</v>
      </c>
      <c r="V42" s="105"/>
      <c r="W42" s="105"/>
    </row>
    <row r="43">
      <c r="A43" s="108"/>
      <c r="B43" s="109"/>
      <c r="C43" s="80"/>
      <c r="D43" s="98"/>
      <c r="E43" s="98"/>
      <c r="F43" s="98"/>
      <c r="G43" s="98"/>
      <c r="H43" s="98"/>
      <c r="I43" s="98"/>
      <c r="J43" s="98"/>
      <c r="K43" s="98"/>
      <c r="L43" s="99"/>
      <c r="M43" s="100"/>
      <c r="N43" s="98"/>
      <c r="O43" s="98"/>
      <c r="P43" s="98"/>
      <c r="Q43" s="98"/>
      <c r="R43" s="98"/>
      <c r="S43" s="98"/>
      <c r="T43" s="98"/>
      <c r="U43" s="98"/>
      <c r="V43" s="98"/>
      <c r="W43" s="101"/>
    </row>
    <row r="44">
      <c r="A44" s="86" t="s">
        <v>136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4"/>
    </row>
    <row r="45">
      <c r="A45" s="88"/>
      <c r="B45" s="89" t="s">
        <v>137</v>
      </c>
      <c r="C45" s="89">
        <v>179.0</v>
      </c>
      <c r="D45" s="90"/>
      <c r="E45" s="91" t="s">
        <v>138</v>
      </c>
      <c r="F45" s="90"/>
      <c r="G45" s="92">
        <v>7.425</v>
      </c>
      <c r="H45" s="91">
        <v>30.0</v>
      </c>
      <c r="I45" s="91" t="s">
        <v>139</v>
      </c>
      <c r="J45" s="91" t="s">
        <v>140</v>
      </c>
      <c r="K45" s="90"/>
      <c r="L45" s="93" t="s">
        <v>141</v>
      </c>
      <c r="M45" s="84"/>
      <c r="N45" s="90"/>
      <c r="O45" s="90"/>
      <c r="P45" s="90"/>
      <c r="Q45" s="90"/>
      <c r="R45" s="90"/>
      <c r="S45" s="91" t="s">
        <v>141</v>
      </c>
      <c r="T45" s="90"/>
      <c r="U45" s="91" t="s">
        <v>141</v>
      </c>
      <c r="V45" s="90"/>
      <c r="W45" s="90"/>
    </row>
    <row r="46">
      <c r="A46" s="94"/>
      <c r="B46" s="89" t="s">
        <v>142</v>
      </c>
      <c r="C46" s="89">
        <v>14.0</v>
      </c>
      <c r="D46" s="90"/>
      <c r="E46" s="91" t="s">
        <v>138</v>
      </c>
      <c r="F46" s="90"/>
      <c r="G46" s="92">
        <v>9.213888888888889</v>
      </c>
      <c r="H46" s="91">
        <v>30.0</v>
      </c>
      <c r="I46" s="91" t="s">
        <v>143</v>
      </c>
      <c r="J46" s="91" t="s">
        <v>144</v>
      </c>
      <c r="K46" s="90"/>
      <c r="L46" s="93" t="s">
        <v>145</v>
      </c>
      <c r="M46" s="84"/>
      <c r="N46" s="90"/>
      <c r="O46" s="91">
        <v>-4.0</v>
      </c>
      <c r="P46" s="90"/>
      <c r="Q46" s="90"/>
      <c r="R46" s="90"/>
      <c r="S46" s="91" t="s">
        <v>146</v>
      </c>
      <c r="T46" s="90"/>
      <c r="U46" s="91" t="s">
        <v>146</v>
      </c>
      <c r="V46" s="90"/>
      <c r="W46" s="90"/>
    </row>
    <row r="47">
      <c r="A47" s="94"/>
      <c r="B47" s="96"/>
      <c r="C47" s="97"/>
      <c r="D47" s="98"/>
      <c r="E47" s="98"/>
      <c r="F47" s="98"/>
      <c r="G47" s="98"/>
      <c r="H47" s="98"/>
      <c r="I47" s="98"/>
      <c r="J47" s="98"/>
      <c r="K47" s="98"/>
      <c r="L47" s="99"/>
      <c r="M47" s="100"/>
      <c r="N47" s="98"/>
      <c r="O47" s="98"/>
      <c r="P47" s="98"/>
      <c r="Q47" s="98"/>
      <c r="R47" s="98"/>
      <c r="S47" s="98"/>
      <c r="T47" s="98"/>
      <c r="U47" s="98"/>
      <c r="V47" s="98"/>
      <c r="W47" s="101"/>
    </row>
    <row r="48">
      <c r="A48" s="94"/>
      <c r="B48" s="102"/>
      <c r="C48" s="103"/>
      <c r="D48" s="105"/>
      <c r="E48" s="104" t="s">
        <v>147</v>
      </c>
      <c r="F48" s="105"/>
      <c r="G48" s="106">
        <v>16.63888888888889</v>
      </c>
      <c r="H48" s="104">
        <v>60.0</v>
      </c>
      <c r="I48" s="104" t="s">
        <v>148</v>
      </c>
      <c r="J48" s="104" t="s">
        <v>149</v>
      </c>
      <c r="K48" s="105"/>
      <c r="L48" s="107" t="s">
        <v>150</v>
      </c>
      <c r="M48" s="84"/>
      <c r="N48" s="105"/>
      <c r="O48" s="104">
        <v>-4.0</v>
      </c>
      <c r="P48" s="105"/>
      <c r="Q48" s="105"/>
      <c r="R48" s="105"/>
      <c r="S48" s="104" t="s">
        <v>151</v>
      </c>
      <c r="T48" s="105"/>
      <c r="U48" s="104" t="s">
        <v>151</v>
      </c>
      <c r="V48" s="105"/>
      <c r="W48" s="105"/>
    </row>
    <row r="49">
      <c r="A49" s="108"/>
      <c r="B49" s="109"/>
      <c r="C49" s="80"/>
      <c r="D49" s="98"/>
      <c r="E49" s="98"/>
      <c r="F49" s="98"/>
      <c r="G49" s="98"/>
      <c r="H49" s="98"/>
      <c r="I49" s="98"/>
      <c r="J49" s="98"/>
      <c r="K49" s="98"/>
      <c r="L49" s="99"/>
      <c r="M49" s="100"/>
      <c r="N49" s="98"/>
      <c r="O49" s="98"/>
      <c r="P49" s="98"/>
      <c r="Q49" s="98"/>
      <c r="R49" s="98"/>
      <c r="S49" s="98"/>
      <c r="T49" s="98"/>
      <c r="U49" s="98"/>
      <c r="V49" s="98"/>
      <c r="W49" s="101"/>
    </row>
    <row r="50">
      <c r="A50" s="86" t="s">
        <v>152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4"/>
    </row>
    <row r="51">
      <c r="A51" s="88"/>
      <c r="B51" s="89" t="s">
        <v>153</v>
      </c>
      <c r="C51" s="89">
        <v>47.0</v>
      </c>
      <c r="D51" s="90"/>
      <c r="E51" s="91" t="s">
        <v>154</v>
      </c>
      <c r="F51" s="90"/>
      <c r="G51" s="92">
        <v>6.6409722222222225</v>
      </c>
      <c r="H51" s="91">
        <v>31.0</v>
      </c>
      <c r="I51" s="90"/>
      <c r="J51" s="90"/>
      <c r="K51" s="90"/>
      <c r="L51" s="93" t="s">
        <v>155</v>
      </c>
      <c r="M51" s="84"/>
      <c r="N51" s="90"/>
      <c r="O51" s="91">
        <v>-413.17</v>
      </c>
      <c r="P51" s="90"/>
      <c r="Q51" s="90"/>
      <c r="R51" s="90"/>
      <c r="S51" s="91" t="s">
        <v>156</v>
      </c>
      <c r="T51" s="90"/>
      <c r="U51" s="91" t="s">
        <v>156</v>
      </c>
      <c r="V51" s="90"/>
      <c r="W51" s="90"/>
    </row>
    <row r="52">
      <c r="A52" s="94"/>
      <c r="B52" s="96"/>
      <c r="C52" s="97"/>
      <c r="D52" s="98"/>
      <c r="E52" s="98"/>
      <c r="F52" s="98"/>
      <c r="G52" s="98"/>
      <c r="H52" s="98"/>
      <c r="I52" s="98"/>
      <c r="J52" s="98"/>
      <c r="K52" s="98"/>
      <c r="L52" s="99"/>
      <c r="M52" s="100"/>
      <c r="N52" s="98"/>
      <c r="O52" s="98"/>
      <c r="P52" s="98"/>
      <c r="Q52" s="98"/>
      <c r="R52" s="98"/>
      <c r="S52" s="98"/>
      <c r="T52" s="98"/>
      <c r="U52" s="98"/>
      <c r="V52" s="98"/>
      <c r="W52" s="101"/>
    </row>
    <row r="53">
      <c r="A53" s="94"/>
      <c r="B53" s="102"/>
      <c r="C53" s="103"/>
      <c r="D53" s="105"/>
      <c r="E53" s="104" t="s">
        <v>154</v>
      </c>
      <c r="F53" s="105"/>
      <c r="G53" s="106">
        <v>6.6409722222222225</v>
      </c>
      <c r="H53" s="104">
        <v>31.0</v>
      </c>
      <c r="I53" s="105"/>
      <c r="J53" s="105"/>
      <c r="K53" s="105"/>
      <c r="L53" s="107" t="s">
        <v>155</v>
      </c>
      <c r="M53" s="84"/>
      <c r="N53" s="105"/>
      <c r="O53" s="104">
        <v>-413.17</v>
      </c>
      <c r="P53" s="105"/>
      <c r="Q53" s="105"/>
      <c r="R53" s="105"/>
      <c r="S53" s="104" t="s">
        <v>156</v>
      </c>
      <c r="T53" s="105"/>
      <c r="U53" s="104" t="s">
        <v>156</v>
      </c>
      <c r="V53" s="105"/>
      <c r="W53" s="105"/>
    </row>
    <row r="54">
      <c r="A54" s="108"/>
      <c r="B54" s="109"/>
      <c r="C54" s="80"/>
      <c r="D54" s="98"/>
      <c r="E54" s="98"/>
      <c r="F54" s="98"/>
      <c r="G54" s="98"/>
      <c r="H54" s="98"/>
      <c r="I54" s="98"/>
      <c r="J54" s="98"/>
      <c r="K54" s="98"/>
      <c r="L54" s="99"/>
      <c r="M54" s="100"/>
      <c r="N54" s="98"/>
      <c r="O54" s="98"/>
      <c r="P54" s="98"/>
      <c r="Q54" s="98"/>
      <c r="R54" s="98"/>
      <c r="S54" s="98"/>
      <c r="T54" s="98"/>
      <c r="U54" s="98"/>
      <c r="V54" s="98"/>
      <c r="W54" s="101"/>
    </row>
    <row r="55">
      <c r="A55" s="86" t="s">
        <v>157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4"/>
    </row>
    <row r="56">
      <c r="A56" s="88"/>
      <c r="B56" s="89" t="s">
        <v>158</v>
      </c>
      <c r="C56" s="89">
        <v>151.0</v>
      </c>
      <c r="D56" s="90"/>
      <c r="E56" s="91" t="s">
        <v>68</v>
      </c>
      <c r="F56" s="90"/>
      <c r="G56" s="92">
        <v>5.736111111111111</v>
      </c>
      <c r="H56" s="91">
        <v>27.7</v>
      </c>
      <c r="I56" s="90"/>
      <c r="J56" s="90"/>
      <c r="K56" s="90"/>
      <c r="L56" s="93" t="s">
        <v>159</v>
      </c>
      <c r="M56" s="84"/>
      <c r="N56" s="90"/>
      <c r="O56" s="91">
        <v>-503.21</v>
      </c>
      <c r="P56" s="90"/>
      <c r="Q56" s="90"/>
      <c r="R56" s="90"/>
      <c r="S56" s="91" t="s">
        <v>160</v>
      </c>
      <c r="T56" s="90"/>
      <c r="U56" s="91" t="s">
        <v>160</v>
      </c>
      <c r="V56" s="90"/>
      <c r="W56" s="90"/>
    </row>
    <row r="57">
      <c r="A57" s="94"/>
      <c r="B57" s="96"/>
      <c r="C57" s="97"/>
      <c r="D57" s="98"/>
      <c r="E57" s="98"/>
      <c r="F57" s="98"/>
      <c r="G57" s="98"/>
      <c r="H57" s="98"/>
      <c r="I57" s="98"/>
      <c r="J57" s="98"/>
      <c r="K57" s="98"/>
      <c r="L57" s="99"/>
      <c r="M57" s="100"/>
      <c r="N57" s="98"/>
      <c r="O57" s="98"/>
      <c r="P57" s="98"/>
      <c r="Q57" s="98"/>
      <c r="R57" s="98"/>
      <c r="S57" s="98"/>
      <c r="T57" s="98"/>
      <c r="U57" s="98"/>
      <c r="V57" s="98"/>
      <c r="W57" s="101"/>
    </row>
    <row r="58">
      <c r="A58" s="94"/>
      <c r="B58" s="102"/>
      <c r="C58" s="103"/>
      <c r="D58" s="105"/>
      <c r="E58" s="104" t="s">
        <v>68</v>
      </c>
      <c r="F58" s="105"/>
      <c r="G58" s="106">
        <v>5.736111111111111</v>
      </c>
      <c r="H58" s="104">
        <v>27.7</v>
      </c>
      <c r="I58" s="105"/>
      <c r="J58" s="105"/>
      <c r="K58" s="105"/>
      <c r="L58" s="107" t="s">
        <v>159</v>
      </c>
      <c r="M58" s="84"/>
      <c r="N58" s="105"/>
      <c r="O58" s="104">
        <v>-503.21</v>
      </c>
      <c r="P58" s="105"/>
      <c r="Q58" s="105"/>
      <c r="R58" s="105"/>
      <c r="S58" s="104" t="s">
        <v>160</v>
      </c>
      <c r="T58" s="105"/>
      <c r="U58" s="104" t="s">
        <v>160</v>
      </c>
      <c r="V58" s="105"/>
      <c r="W58" s="105"/>
    </row>
    <row r="59">
      <c r="A59" s="108"/>
      <c r="B59" s="109"/>
      <c r="C59" s="80"/>
      <c r="D59" s="98"/>
      <c r="E59" s="98"/>
      <c r="F59" s="98"/>
      <c r="G59" s="98"/>
      <c r="H59" s="98"/>
      <c r="I59" s="98"/>
      <c r="J59" s="98"/>
      <c r="K59" s="98"/>
      <c r="L59" s="99"/>
      <c r="M59" s="100"/>
      <c r="N59" s="98"/>
      <c r="O59" s="98"/>
      <c r="P59" s="98"/>
      <c r="Q59" s="98"/>
      <c r="R59" s="98"/>
      <c r="S59" s="98"/>
      <c r="T59" s="98"/>
      <c r="U59" s="98"/>
      <c r="V59" s="98"/>
      <c r="W59" s="101"/>
    </row>
    <row r="60">
      <c r="A60" s="86" t="s">
        <v>161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4"/>
    </row>
    <row r="61">
      <c r="A61" s="88"/>
      <c r="B61" s="89" t="s">
        <v>62</v>
      </c>
      <c r="C61" s="89">
        <v>17.0</v>
      </c>
      <c r="D61" s="91" t="s">
        <v>162</v>
      </c>
      <c r="E61" s="91" t="s">
        <v>154</v>
      </c>
      <c r="F61" s="90"/>
      <c r="G61" s="92">
        <v>9.374305555555555</v>
      </c>
      <c r="H61" s="91">
        <v>31.0</v>
      </c>
      <c r="I61" s="90"/>
      <c r="J61" s="90"/>
      <c r="K61" s="90"/>
      <c r="L61" s="93" t="s">
        <v>163</v>
      </c>
      <c r="M61" s="84"/>
      <c r="N61" s="90"/>
      <c r="O61" s="90"/>
      <c r="P61" s="90"/>
      <c r="Q61" s="90"/>
      <c r="R61" s="90"/>
      <c r="S61" s="91" t="s">
        <v>163</v>
      </c>
      <c r="T61" s="90"/>
      <c r="U61" s="91" t="s">
        <v>163</v>
      </c>
      <c r="V61" s="90"/>
      <c r="W61" s="91" t="s">
        <v>162</v>
      </c>
    </row>
    <row r="62">
      <c r="A62" s="94"/>
      <c r="B62" s="96"/>
      <c r="C62" s="97"/>
      <c r="D62" s="98"/>
      <c r="E62" s="98"/>
      <c r="F62" s="98"/>
      <c r="G62" s="98"/>
      <c r="H62" s="98"/>
      <c r="I62" s="98"/>
      <c r="J62" s="98"/>
      <c r="K62" s="98"/>
      <c r="L62" s="99"/>
      <c r="M62" s="100"/>
      <c r="N62" s="98"/>
      <c r="O62" s="98"/>
      <c r="P62" s="98"/>
      <c r="Q62" s="98"/>
      <c r="R62" s="98"/>
      <c r="S62" s="98"/>
      <c r="T62" s="98"/>
      <c r="U62" s="98"/>
      <c r="V62" s="98"/>
      <c r="W62" s="101"/>
    </row>
    <row r="63">
      <c r="A63" s="94"/>
      <c r="B63" s="102"/>
      <c r="C63" s="103"/>
      <c r="D63" s="104" t="s">
        <v>162</v>
      </c>
      <c r="E63" s="104" t="s">
        <v>154</v>
      </c>
      <c r="F63" s="105"/>
      <c r="G63" s="106">
        <v>9.374305555555555</v>
      </c>
      <c r="H63" s="104">
        <v>31.0</v>
      </c>
      <c r="I63" s="105"/>
      <c r="J63" s="105"/>
      <c r="K63" s="105"/>
      <c r="L63" s="107" t="s">
        <v>163</v>
      </c>
      <c r="M63" s="84"/>
      <c r="N63" s="105"/>
      <c r="O63" s="105"/>
      <c r="P63" s="105"/>
      <c r="Q63" s="105"/>
      <c r="R63" s="105"/>
      <c r="S63" s="104" t="s">
        <v>163</v>
      </c>
      <c r="T63" s="105"/>
      <c r="U63" s="104" t="s">
        <v>163</v>
      </c>
      <c r="V63" s="105"/>
      <c r="W63" s="104" t="s">
        <v>162</v>
      </c>
    </row>
    <row r="64">
      <c r="A64" s="108"/>
      <c r="B64" s="109"/>
      <c r="C64" s="80"/>
      <c r="D64" s="98"/>
      <c r="E64" s="98"/>
      <c r="F64" s="98"/>
      <c r="G64" s="98"/>
      <c r="H64" s="98"/>
      <c r="I64" s="98"/>
      <c r="J64" s="98"/>
      <c r="K64" s="98"/>
      <c r="L64" s="99"/>
      <c r="M64" s="100"/>
      <c r="N64" s="98"/>
      <c r="O64" s="98"/>
      <c r="P64" s="98"/>
      <c r="Q64" s="98"/>
      <c r="R64" s="98"/>
      <c r="S64" s="98"/>
      <c r="T64" s="98"/>
      <c r="U64" s="98"/>
      <c r="V64" s="98"/>
      <c r="W64" s="101"/>
    </row>
    <row r="65">
      <c r="A65" s="86" t="s">
        <v>164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4"/>
    </row>
    <row r="66">
      <c r="A66" s="88"/>
      <c r="B66" s="89" t="s">
        <v>165</v>
      </c>
      <c r="C66" s="89">
        <v>5.0</v>
      </c>
      <c r="D66" s="90"/>
      <c r="E66" s="91" t="s">
        <v>91</v>
      </c>
      <c r="F66" s="90"/>
      <c r="G66" s="92">
        <v>9.513194444444444</v>
      </c>
      <c r="H66" s="91">
        <v>35.0</v>
      </c>
      <c r="I66" s="90"/>
      <c r="J66" s="91">
        <v>218.0</v>
      </c>
      <c r="K66" s="90"/>
      <c r="L66" s="93" t="s">
        <v>166</v>
      </c>
      <c r="M66" s="84"/>
      <c r="N66" s="90"/>
      <c r="O66" s="91" t="s">
        <v>167</v>
      </c>
      <c r="P66" s="90"/>
      <c r="Q66" s="90"/>
      <c r="R66" s="90"/>
      <c r="S66" s="91" t="s">
        <v>168</v>
      </c>
      <c r="T66" s="90"/>
      <c r="U66" s="91" t="s">
        <v>168</v>
      </c>
      <c r="V66" s="90"/>
      <c r="W66" s="90"/>
    </row>
    <row r="67">
      <c r="A67" s="94"/>
      <c r="B67" s="96"/>
      <c r="C67" s="97"/>
      <c r="D67" s="98"/>
      <c r="E67" s="98"/>
      <c r="F67" s="98"/>
      <c r="G67" s="98"/>
      <c r="H67" s="98"/>
      <c r="I67" s="98"/>
      <c r="J67" s="98"/>
      <c r="K67" s="98"/>
      <c r="L67" s="99"/>
      <c r="M67" s="100"/>
      <c r="N67" s="98"/>
      <c r="O67" s="98"/>
      <c r="P67" s="98"/>
      <c r="Q67" s="98"/>
      <c r="R67" s="98"/>
      <c r="S67" s="98"/>
      <c r="T67" s="98"/>
      <c r="U67" s="98"/>
      <c r="V67" s="98"/>
      <c r="W67" s="101"/>
    </row>
    <row r="68">
      <c r="A68" s="94"/>
      <c r="B68" s="102"/>
      <c r="C68" s="103"/>
      <c r="D68" s="105"/>
      <c r="E68" s="104" t="s">
        <v>91</v>
      </c>
      <c r="F68" s="105"/>
      <c r="G68" s="106">
        <v>9.513194444444444</v>
      </c>
      <c r="H68" s="104">
        <v>35.0</v>
      </c>
      <c r="I68" s="105"/>
      <c r="J68" s="104">
        <v>218.0</v>
      </c>
      <c r="K68" s="105"/>
      <c r="L68" s="107" t="s">
        <v>166</v>
      </c>
      <c r="M68" s="84"/>
      <c r="N68" s="105"/>
      <c r="O68" s="104" t="s">
        <v>167</v>
      </c>
      <c r="P68" s="105"/>
      <c r="Q68" s="105"/>
      <c r="R68" s="105"/>
      <c r="S68" s="104" t="s">
        <v>168</v>
      </c>
      <c r="T68" s="105"/>
      <c r="U68" s="104" t="s">
        <v>168</v>
      </c>
      <c r="V68" s="105"/>
      <c r="W68" s="105"/>
    </row>
    <row r="69">
      <c r="A69" s="108"/>
      <c r="B69" s="109"/>
      <c r="C69" s="80"/>
      <c r="D69" s="98"/>
      <c r="E69" s="98"/>
      <c r="F69" s="98"/>
      <c r="G69" s="98"/>
      <c r="H69" s="98"/>
      <c r="I69" s="98"/>
      <c r="J69" s="98"/>
      <c r="K69" s="98"/>
      <c r="L69" s="99"/>
      <c r="M69" s="100"/>
      <c r="N69" s="98"/>
      <c r="O69" s="98"/>
      <c r="P69" s="98"/>
      <c r="Q69" s="98"/>
      <c r="R69" s="98"/>
      <c r="S69" s="98"/>
      <c r="T69" s="98"/>
      <c r="U69" s="98"/>
      <c r="V69" s="98"/>
      <c r="W69" s="101"/>
    </row>
    <row r="70">
      <c r="A70" s="86" t="s">
        <v>169</v>
      </c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4"/>
    </row>
    <row r="71">
      <c r="A71" s="88"/>
      <c r="B71" s="89" t="s">
        <v>170</v>
      </c>
      <c r="C71" s="89">
        <v>19.0</v>
      </c>
      <c r="D71" s="90"/>
      <c r="E71" s="91" t="s">
        <v>66</v>
      </c>
      <c r="F71" s="90"/>
      <c r="G71" s="92">
        <v>14.01736111111111</v>
      </c>
      <c r="H71" s="91">
        <v>26.0</v>
      </c>
      <c r="I71" s="90"/>
      <c r="J71" s="90"/>
      <c r="K71" s="90"/>
      <c r="L71" s="93" t="s">
        <v>171</v>
      </c>
      <c r="M71" s="84"/>
      <c r="N71" s="90"/>
      <c r="O71" s="91">
        <v>-86.46</v>
      </c>
      <c r="P71" s="90"/>
      <c r="Q71" s="90"/>
      <c r="R71" s="90"/>
      <c r="S71" s="91" t="s">
        <v>172</v>
      </c>
      <c r="T71" s="90"/>
      <c r="U71" s="91" t="s">
        <v>172</v>
      </c>
      <c r="V71" s="90"/>
      <c r="W71" s="90"/>
    </row>
    <row r="72">
      <c r="A72" s="94"/>
      <c r="B72" s="89" t="s">
        <v>173</v>
      </c>
      <c r="C72" s="89">
        <v>10.0</v>
      </c>
      <c r="D72" s="90"/>
      <c r="E72" s="91" t="s">
        <v>66</v>
      </c>
      <c r="F72" s="90"/>
      <c r="G72" s="92">
        <v>6.772222222222222</v>
      </c>
      <c r="H72" s="91">
        <v>26.0</v>
      </c>
      <c r="I72" s="90"/>
      <c r="J72" s="90"/>
      <c r="K72" s="90"/>
      <c r="L72" s="93" t="s">
        <v>174</v>
      </c>
      <c r="M72" s="84"/>
      <c r="N72" s="90"/>
      <c r="O72" s="90"/>
      <c r="P72" s="90"/>
      <c r="Q72" s="90"/>
      <c r="R72" s="90"/>
      <c r="S72" s="91" t="s">
        <v>174</v>
      </c>
      <c r="T72" s="90"/>
      <c r="U72" s="91" t="s">
        <v>174</v>
      </c>
      <c r="V72" s="90"/>
      <c r="W72" s="90"/>
    </row>
    <row r="73">
      <c r="A73" s="94"/>
      <c r="B73" s="96"/>
      <c r="C73" s="97"/>
      <c r="D73" s="98"/>
      <c r="E73" s="98"/>
      <c r="F73" s="98"/>
      <c r="G73" s="98"/>
      <c r="H73" s="98"/>
      <c r="I73" s="98"/>
      <c r="J73" s="98"/>
      <c r="K73" s="98"/>
      <c r="L73" s="99"/>
      <c r="M73" s="100"/>
      <c r="N73" s="98"/>
      <c r="O73" s="98"/>
      <c r="P73" s="98"/>
      <c r="Q73" s="98"/>
      <c r="R73" s="98"/>
      <c r="S73" s="98"/>
      <c r="T73" s="98"/>
      <c r="U73" s="98"/>
      <c r="V73" s="98"/>
      <c r="W73" s="101"/>
    </row>
    <row r="74">
      <c r="A74" s="94"/>
      <c r="B74" s="102"/>
      <c r="C74" s="103"/>
      <c r="D74" s="105"/>
      <c r="E74" s="104" t="s">
        <v>175</v>
      </c>
      <c r="F74" s="105"/>
      <c r="G74" s="106">
        <v>20.789583333333333</v>
      </c>
      <c r="H74" s="104">
        <v>52.0</v>
      </c>
      <c r="I74" s="105"/>
      <c r="J74" s="105"/>
      <c r="K74" s="105"/>
      <c r="L74" s="107" t="s">
        <v>176</v>
      </c>
      <c r="M74" s="84"/>
      <c r="N74" s="105"/>
      <c r="O74" s="104">
        <v>-86.46</v>
      </c>
      <c r="P74" s="105"/>
      <c r="Q74" s="105"/>
      <c r="R74" s="105"/>
      <c r="S74" s="104" t="s">
        <v>177</v>
      </c>
      <c r="T74" s="105"/>
      <c r="U74" s="104" t="s">
        <v>177</v>
      </c>
      <c r="V74" s="105"/>
      <c r="W74" s="105"/>
    </row>
    <row r="75">
      <c r="A75" s="108"/>
      <c r="B75" s="109"/>
      <c r="C75" s="80"/>
      <c r="D75" s="98"/>
      <c r="E75" s="98"/>
      <c r="F75" s="98"/>
      <c r="G75" s="98"/>
      <c r="H75" s="98"/>
      <c r="I75" s="98"/>
      <c r="J75" s="98"/>
      <c r="K75" s="98"/>
      <c r="L75" s="99"/>
      <c r="M75" s="100"/>
      <c r="N75" s="98"/>
      <c r="O75" s="98"/>
      <c r="P75" s="98"/>
      <c r="Q75" s="98"/>
      <c r="R75" s="98"/>
      <c r="S75" s="98"/>
      <c r="T75" s="98"/>
      <c r="U75" s="98"/>
      <c r="V75" s="98"/>
      <c r="W75" s="101"/>
    </row>
    <row r="76">
      <c r="A76" s="86" t="s">
        <v>178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4"/>
    </row>
    <row r="77">
      <c r="A77" s="88"/>
      <c r="B77" s="89" t="s">
        <v>179</v>
      </c>
      <c r="C77" s="89">
        <v>3.0</v>
      </c>
      <c r="D77" s="90"/>
      <c r="E77" s="90"/>
      <c r="F77" s="90"/>
      <c r="G77" s="90"/>
      <c r="H77" s="90"/>
      <c r="I77" s="91">
        <v>160.0</v>
      </c>
      <c r="J77" s="90"/>
      <c r="K77" s="90"/>
      <c r="L77" s="95"/>
      <c r="M77" s="84"/>
      <c r="N77" s="90"/>
      <c r="O77" s="90"/>
      <c r="P77" s="90"/>
      <c r="Q77" s="90"/>
      <c r="R77" s="90"/>
      <c r="S77" s="90"/>
      <c r="T77" s="90"/>
      <c r="U77" s="90"/>
      <c r="V77" s="90"/>
      <c r="W77" s="90"/>
    </row>
    <row r="78">
      <c r="A78" s="94"/>
      <c r="B78" s="96"/>
      <c r="C78" s="97"/>
      <c r="D78" s="98"/>
      <c r="E78" s="98"/>
      <c r="F78" s="98"/>
      <c r="G78" s="98"/>
      <c r="H78" s="98"/>
      <c r="I78" s="98"/>
      <c r="J78" s="98"/>
      <c r="K78" s="98"/>
      <c r="L78" s="99"/>
      <c r="M78" s="100"/>
      <c r="N78" s="98"/>
      <c r="O78" s="98"/>
      <c r="P78" s="98"/>
      <c r="Q78" s="98"/>
      <c r="R78" s="98"/>
      <c r="S78" s="98"/>
      <c r="T78" s="98"/>
      <c r="U78" s="98"/>
      <c r="V78" s="98"/>
      <c r="W78" s="101"/>
    </row>
    <row r="79">
      <c r="A79" s="94"/>
      <c r="B79" s="102"/>
      <c r="C79" s="103"/>
      <c r="D79" s="105"/>
      <c r="E79" s="105"/>
      <c r="F79" s="105"/>
      <c r="G79" s="111">
        <v>0.0</v>
      </c>
      <c r="H79" s="105"/>
      <c r="I79" s="104">
        <v>160.0</v>
      </c>
      <c r="J79" s="105"/>
      <c r="K79" s="105"/>
      <c r="L79" s="112"/>
      <c r="M79" s="84"/>
      <c r="N79" s="105"/>
      <c r="O79" s="105"/>
      <c r="P79" s="105"/>
      <c r="Q79" s="105"/>
      <c r="R79" s="105"/>
      <c r="S79" s="105"/>
      <c r="T79" s="105"/>
      <c r="U79" s="105"/>
      <c r="V79" s="105"/>
      <c r="W79" s="105"/>
    </row>
    <row r="80">
      <c r="A80" s="113"/>
      <c r="B80" s="114"/>
      <c r="C80" s="115"/>
      <c r="D80" s="116"/>
      <c r="E80" s="116"/>
      <c r="F80" s="116"/>
      <c r="G80" s="116"/>
      <c r="H80" s="116"/>
      <c r="I80" s="116"/>
      <c r="J80" s="116"/>
      <c r="K80" s="116"/>
      <c r="L80" s="117"/>
      <c r="M80" s="118"/>
      <c r="N80" s="116"/>
      <c r="O80" s="116"/>
      <c r="P80" s="116"/>
      <c r="Q80" s="116"/>
      <c r="R80" s="116"/>
      <c r="S80" s="116"/>
      <c r="T80" s="116"/>
      <c r="U80" s="116"/>
      <c r="V80" s="116"/>
      <c r="W80" s="119"/>
    </row>
    <row r="81">
      <c r="A81" s="120"/>
      <c r="B81" s="121"/>
      <c r="C81" s="122"/>
      <c r="D81" s="123">
        <v>0.0</v>
      </c>
      <c r="E81" s="123" t="s">
        <v>180</v>
      </c>
      <c r="F81" s="124"/>
      <c r="G81" s="125">
        <v>160.83402777777778</v>
      </c>
      <c r="H81" s="123">
        <v>608.1</v>
      </c>
      <c r="I81" s="123" t="s">
        <v>181</v>
      </c>
      <c r="J81" s="123" t="s">
        <v>181</v>
      </c>
      <c r="K81" s="124"/>
      <c r="L81" s="126" t="s">
        <v>182</v>
      </c>
      <c r="M81" s="122"/>
      <c r="N81" s="124"/>
      <c r="O81" s="123" t="s">
        <v>183</v>
      </c>
      <c r="P81" s="124"/>
      <c r="Q81" s="124"/>
      <c r="R81" s="124"/>
      <c r="S81" s="123" t="s">
        <v>184</v>
      </c>
      <c r="T81" s="124"/>
      <c r="U81" s="123" t="s">
        <v>184</v>
      </c>
      <c r="V81" s="123">
        <v>0.0</v>
      </c>
      <c r="W81" s="123">
        <v>0.0</v>
      </c>
    </row>
  </sheetData>
  <mergeCells count="122">
    <mergeCell ref="B24:C24"/>
    <mergeCell ref="B28:C28"/>
    <mergeCell ref="B29:C29"/>
    <mergeCell ref="B30:C30"/>
    <mergeCell ref="B35:C35"/>
    <mergeCell ref="B36:C36"/>
    <mergeCell ref="B37:C37"/>
    <mergeCell ref="B41:C41"/>
    <mergeCell ref="B42:C42"/>
    <mergeCell ref="B43:C43"/>
    <mergeCell ref="B47:C47"/>
    <mergeCell ref="B48:C48"/>
    <mergeCell ref="B49:C49"/>
    <mergeCell ref="B52:C52"/>
    <mergeCell ref="B53:C53"/>
    <mergeCell ref="B54:C54"/>
    <mergeCell ref="B57:C57"/>
    <mergeCell ref="B58:C58"/>
    <mergeCell ref="B59:C59"/>
    <mergeCell ref="B62:C62"/>
    <mergeCell ref="B63:C63"/>
    <mergeCell ref="B78:C78"/>
    <mergeCell ref="B79:C79"/>
    <mergeCell ref="B80:C80"/>
    <mergeCell ref="B64:C64"/>
    <mergeCell ref="B67:C67"/>
    <mergeCell ref="B68:C68"/>
    <mergeCell ref="B69:C69"/>
    <mergeCell ref="B73:C73"/>
    <mergeCell ref="B74:C74"/>
    <mergeCell ref="B75:C75"/>
    <mergeCell ref="L42:M42"/>
    <mergeCell ref="L43:M43"/>
    <mergeCell ref="A44:W44"/>
    <mergeCell ref="L45:M45"/>
    <mergeCell ref="L46:M46"/>
    <mergeCell ref="L47:M47"/>
    <mergeCell ref="L48:M48"/>
    <mergeCell ref="L49:M49"/>
    <mergeCell ref="A50:W50"/>
    <mergeCell ref="L51:M51"/>
    <mergeCell ref="L52:M52"/>
    <mergeCell ref="L53:M53"/>
    <mergeCell ref="L54:M54"/>
    <mergeCell ref="A55:W55"/>
    <mergeCell ref="L56:M56"/>
    <mergeCell ref="L57:M57"/>
    <mergeCell ref="L58:M58"/>
    <mergeCell ref="L59:M59"/>
    <mergeCell ref="A60:W60"/>
    <mergeCell ref="L61:M61"/>
    <mergeCell ref="L62:M62"/>
    <mergeCell ref="L63:M63"/>
    <mergeCell ref="L64:M64"/>
    <mergeCell ref="A65:W65"/>
    <mergeCell ref="L66:M66"/>
    <mergeCell ref="L67:M67"/>
    <mergeCell ref="L68:M68"/>
    <mergeCell ref="A70:W70"/>
    <mergeCell ref="A76:W76"/>
    <mergeCell ref="L78:M78"/>
    <mergeCell ref="L79:M79"/>
    <mergeCell ref="L80:M80"/>
    <mergeCell ref="A81:C81"/>
    <mergeCell ref="L81:M81"/>
    <mergeCell ref="L69:M69"/>
    <mergeCell ref="L71:M71"/>
    <mergeCell ref="L72:M72"/>
    <mergeCell ref="L73:M73"/>
    <mergeCell ref="L74:M74"/>
    <mergeCell ref="L75:M75"/>
    <mergeCell ref="L77:M77"/>
    <mergeCell ref="A1:L1"/>
    <mergeCell ref="A2:L2"/>
    <mergeCell ref="A3:L3"/>
    <mergeCell ref="L4:M4"/>
    <mergeCell ref="A5:W5"/>
    <mergeCell ref="L6:M6"/>
    <mergeCell ref="L7:M7"/>
    <mergeCell ref="L15:M15"/>
    <mergeCell ref="L16:M16"/>
    <mergeCell ref="L17:M17"/>
    <mergeCell ref="L18:M18"/>
    <mergeCell ref="L19:M19"/>
    <mergeCell ref="A20:W20"/>
    <mergeCell ref="L21:M21"/>
    <mergeCell ref="L22:M22"/>
    <mergeCell ref="L8:M8"/>
    <mergeCell ref="L9:M9"/>
    <mergeCell ref="L10:M10"/>
    <mergeCell ref="A11:W11"/>
    <mergeCell ref="L12:M12"/>
    <mergeCell ref="L13:M13"/>
    <mergeCell ref="L14:M14"/>
    <mergeCell ref="A4:B4"/>
    <mergeCell ref="B8:C8"/>
    <mergeCell ref="B9:C9"/>
    <mergeCell ref="B10:C10"/>
    <mergeCell ref="B17:C17"/>
    <mergeCell ref="B18:C18"/>
    <mergeCell ref="B19:C19"/>
    <mergeCell ref="B22:C22"/>
    <mergeCell ref="B23:C23"/>
    <mergeCell ref="L23:M23"/>
    <mergeCell ref="L24:M24"/>
    <mergeCell ref="A25:W25"/>
    <mergeCell ref="L26:M26"/>
    <mergeCell ref="L27:M27"/>
    <mergeCell ref="L28:M28"/>
    <mergeCell ref="L29:M29"/>
    <mergeCell ref="L30:M30"/>
    <mergeCell ref="A31:W31"/>
    <mergeCell ref="L32:M32"/>
    <mergeCell ref="L33:M33"/>
    <mergeCell ref="L34:M34"/>
    <mergeCell ref="L35:M35"/>
    <mergeCell ref="L36:M36"/>
    <mergeCell ref="L37:M37"/>
    <mergeCell ref="A38:W38"/>
    <mergeCell ref="L39:M39"/>
    <mergeCell ref="L40:M40"/>
    <mergeCell ref="L41:M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75"/>
    <col customWidth="1" min="3" max="3" width="40.88"/>
  </cols>
  <sheetData>
    <row r="1">
      <c r="A1" s="65"/>
      <c r="B1" s="65" t="s">
        <v>11</v>
      </c>
      <c r="D1" s="64"/>
    </row>
    <row r="2">
      <c r="D2" s="64"/>
    </row>
    <row r="3">
      <c r="A3" s="127"/>
      <c r="B3" s="128" t="s">
        <v>185</v>
      </c>
      <c r="C3" s="129">
        <v>335231.0</v>
      </c>
      <c r="D3" s="130">
        <f>C3/C3</f>
        <v>1</v>
      </c>
      <c r="F3" s="128" t="s">
        <v>186</v>
      </c>
      <c r="G3" s="131">
        <f>SUM(G4:G10)</f>
        <v>89900</v>
      </c>
      <c r="H3" s="132">
        <v>1.0</v>
      </c>
    </row>
    <row r="4">
      <c r="A4" s="1"/>
      <c r="B4" s="133" t="s">
        <v>187</v>
      </c>
      <c r="C4" s="134">
        <f>C6+C5</f>
        <v>240996</v>
      </c>
      <c r="D4" s="135">
        <f>C4/C3</f>
        <v>0.7188953289</v>
      </c>
      <c r="F4" s="136" t="s">
        <v>188</v>
      </c>
      <c r="G4" s="137">
        <v>11019.0</v>
      </c>
      <c r="H4" s="138">
        <f t="shared" ref="H4:H10" si="1">G4/$G$3</f>
        <v>0.1225695217</v>
      </c>
    </row>
    <row r="5">
      <c r="A5" s="65"/>
      <c r="B5" s="136" t="s">
        <v>189</v>
      </c>
      <c r="C5" s="137">
        <v>209555.0</v>
      </c>
      <c r="D5" s="138">
        <f>C5/C3</f>
        <v>0.62510627</v>
      </c>
      <c r="F5" s="136" t="s">
        <v>190</v>
      </c>
      <c r="G5" s="137">
        <v>8518.0</v>
      </c>
      <c r="H5" s="138">
        <f t="shared" si="1"/>
        <v>0.09474972191</v>
      </c>
    </row>
    <row r="6">
      <c r="A6" s="65"/>
      <c r="B6" s="139" t="s">
        <v>191</v>
      </c>
      <c r="C6" s="140">
        <v>31441.0</v>
      </c>
      <c r="D6" s="141">
        <f>C6/C3</f>
        <v>0.09378905889</v>
      </c>
      <c r="F6" s="136" t="s">
        <v>192</v>
      </c>
      <c r="G6" s="137">
        <v>2364.0</v>
      </c>
      <c r="H6" s="138">
        <f t="shared" si="1"/>
        <v>0.02629588432</v>
      </c>
    </row>
    <row r="7">
      <c r="A7" s="1"/>
      <c r="B7" s="133" t="s">
        <v>193</v>
      </c>
      <c r="C7" s="134">
        <f>C8+C9+C10+C11+C12</f>
        <v>90013</v>
      </c>
      <c r="D7" s="135">
        <f>C7/C3</f>
        <v>0.2685103705</v>
      </c>
      <c r="F7" s="136" t="s">
        <v>194</v>
      </c>
      <c r="G7" s="137">
        <v>18722.0</v>
      </c>
      <c r="H7" s="138">
        <f t="shared" si="1"/>
        <v>0.2082536151</v>
      </c>
    </row>
    <row r="8">
      <c r="A8" s="65"/>
      <c r="B8" s="136" t="s">
        <v>195</v>
      </c>
      <c r="C8" s="137">
        <v>43155.0</v>
      </c>
      <c r="D8" s="138">
        <f>C8/C3</f>
        <v>0.128732128</v>
      </c>
      <c r="F8" s="136" t="s">
        <v>196</v>
      </c>
      <c r="G8" s="137">
        <v>6540.0</v>
      </c>
      <c r="H8" s="138">
        <f t="shared" si="1"/>
        <v>0.07274749722</v>
      </c>
    </row>
    <row r="9">
      <c r="A9" s="65"/>
      <c r="B9" s="142" t="s">
        <v>197</v>
      </c>
      <c r="C9" s="143">
        <v>24160.0</v>
      </c>
      <c r="D9" s="43">
        <f>C9/C3</f>
        <v>0.07206970716</v>
      </c>
      <c r="F9" s="136" t="s">
        <v>198</v>
      </c>
      <c r="G9" s="137">
        <v>16575.0</v>
      </c>
      <c r="H9" s="138">
        <f t="shared" si="1"/>
        <v>0.1843715239</v>
      </c>
      <c r="I9" s="65" t="s">
        <v>198</v>
      </c>
    </row>
    <row r="10">
      <c r="A10" s="65"/>
      <c r="B10" s="142" t="s">
        <v>199</v>
      </c>
      <c r="C10" s="143">
        <v>15438.0</v>
      </c>
      <c r="D10" s="43">
        <f>C10/C3</f>
        <v>0.04605182695</v>
      </c>
      <c r="F10" s="136" t="s">
        <v>200</v>
      </c>
      <c r="G10" s="137">
        <v>26162.0</v>
      </c>
      <c r="H10" s="138">
        <f t="shared" si="1"/>
        <v>0.2910122358</v>
      </c>
      <c r="I10" s="64">
        <f>SUM(H9:H10)</f>
        <v>0.4753837597</v>
      </c>
    </row>
    <row r="11">
      <c r="A11" s="65"/>
      <c r="B11" s="142" t="s">
        <v>201</v>
      </c>
      <c r="C11" s="143">
        <v>6540.0</v>
      </c>
      <c r="D11" s="43">
        <f>C11/C3</f>
        <v>0.01950893563</v>
      </c>
    </row>
    <row r="12">
      <c r="A12" s="144"/>
      <c r="B12" s="145" t="s">
        <v>202</v>
      </c>
      <c r="C12" s="140">
        <v>720.0</v>
      </c>
      <c r="D12" s="43">
        <f>C12/C3</f>
        <v>0.00214777273</v>
      </c>
    </row>
    <row r="13">
      <c r="A13" s="144"/>
      <c r="B13" s="146" t="s">
        <v>203</v>
      </c>
      <c r="C13" s="147">
        <v>4212.0</v>
      </c>
      <c r="D13" s="148">
        <f>C13/C3</f>
        <v>0.01256447047</v>
      </c>
    </row>
    <row r="14">
      <c r="D14" s="64"/>
    </row>
    <row r="15">
      <c r="D15" s="64"/>
    </row>
    <row r="16">
      <c r="D16" s="64"/>
    </row>
    <row r="17">
      <c r="A17" s="149"/>
      <c r="B17" s="149" t="s">
        <v>204</v>
      </c>
      <c r="I17" s="150"/>
      <c r="J17" s="150"/>
      <c r="K17" s="150"/>
      <c r="L17" s="150"/>
    </row>
    <row r="18">
      <c r="A18" s="151" t="s">
        <v>205</v>
      </c>
      <c r="B18" s="151" t="s">
        <v>206</v>
      </c>
      <c r="C18" s="151" t="s">
        <v>207</v>
      </c>
      <c r="D18" s="151" t="s">
        <v>208</v>
      </c>
      <c r="E18" s="151" t="s">
        <v>209</v>
      </c>
      <c r="F18" s="151" t="s">
        <v>210</v>
      </c>
      <c r="G18" s="151" t="s">
        <v>211</v>
      </c>
      <c r="H18" s="152" t="s">
        <v>212</v>
      </c>
      <c r="I18" s="151" t="s">
        <v>213</v>
      </c>
      <c r="J18" s="151" t="s">
        <v>214</v>
      </c>
      <c r="K18" s="151" t="s">
        <v>215</v>
      </c>
      <c r="L18" s="151" t="s">
        <v>216</v>
      </c>
      <c r="M18" s="153"/>
      <c r="N18" s="153"/>
      <c r="O18" s="153"/>
      <c r="P18" s="153"/>
      <c r="Q18" s="153"/>
      <c r="R18" s="153"/>
      <c r="S18" s="153"/>
      <c r="T18" s="153"/>
      <c r="U18" s="153"/>
      <c r="V18" s="153"/>
    </row>
    <row r="19">
      <c r="A19" s="154" t="s">
        <v>217</v>
      </c>
      <c r="B19" s="155" t="s">
        <v>218</v>
      </c>
      <c r="C19" s="155" t="s">
        <v>219</v>
      </c>
      <c r="D19" s="156">
        <v>35.0</v>
      </c>
      <c r="E19" s="156">
        <v>35.0</v>
      </c>
      <c r="F19" s="156">
        <v>20.0</v>
      </c>
      <c r="G19" s="156">
        <v>700.0</v>
      </c>
      <c r="H19" s="157">
        <v>700.0</v>
      </c>
      <c r="I19" s="156">
        <v>607.3</v>
      </c>
      <c r="J19" s="158">
        <v>655.12</v>
      </c>
      <c r="K19" s="156">
        <v>476.42</v>
      </c>
      <c r="L19" s="156">
        <v>0.21</v>
      </c>
    </row>
    <row r="20">
      <c r="A20" s="154"/>
      <c r="B20" s="155" t="s">
        <v>218</v>
      </c>
      <c r="C20" s="155" t="s">
        <v>220</v>
      </c>
      <c r="D20" s="156">
        <v>10.0</v>
      </c>
      <c r="E20" s="156">
        <v>10.0</v>
      </c>
      <c r="F20" s="156">
        <v>2.0</v>
      </c>
      <c r="G20" s="156">
        <v>20.0</v>
      </c>
      <c r="H20" s="157">
        <v>20.0</v>
      </c>
      <c r="I20" s="156">
        <v>13.89</v>
      </c>
      <c r="J20" s="158">
        <v>227.33</v>
      </c>
      <c r="K20" s="156">
        <v>10.15</v>
      </c>
      <c r="L20" s="156">
        <v>0.01</v>
      </c>
    </row>
    <row r="21">
      <c r="A21" s="154" t="s">
        <v>196</v>
      </c>
      <c r="B21" s="155" t="s">
        <v>221</v>
      </c>
      <c r="C21" s="155" t="s">
        <v>222</v>
      </c>
      <c r="D21" s="156">
        <v>17.0</v>
      </c>
      <c r="E21" s="156">
        <v>17.0</v>
      </c>
      <c r="F21" s="156">
        <v>140.0</v>
      </c>
      <c r="G21" s="156">
        <v>2380.0</v>
      </c>
      <c r="H21" s="157">
        <v>2380.0</v>
      </c>
      <c r="I21" s="156">
        <v>1518.01</v>
      </c>
      <c r="J21" s="158">
        <v>176.11</v>
      </c>
      <c r="K21" s="156">
        <v>1072.94</v>
      </c>
      <c r="L21" s="156">
        <v>0.71</v>
      </c>
    </row>
    <row r="22">
      <c r="A22" s="154" t="s">
        <v>196</v>
      </c>
      <c r="B22" s="155" t="s">
        <v>221</v>
      </c>
      <c r="C22" s="155" t="s">
        <v>223</v>
      </c>
      <c r="D22" s="156">
        <v>17.0</v>
      </c>
      <c r="E22" s="156">
        <v>17.0</v>
      </c>
      <c r="F22" s="156">
        <v>122.0</v>
      </c>
      <c r="G22" s="156">
        <v>2074.0</v>
      </c>
      <c r="H22" s="157">
        <v>2074.0</v>
      </c>
      <c r="I22" s="156">
        <v>1341.07</v>
      </c>
      <c r="J22" s="158">
        <v>182.97</v>
      </c>
      <c r="K22" s="156">
        <v>953.23</v>
      </c>
      <c r="L22" s="156">
        <v>0.62</v>
      </c>
    </row>
    <row r="23">
      <c r="A23" s="154" t="s">
        <v>196</v>
      </c>
      <c r="B23" s="155" t="s">
        <v>221</v>
      </c>
      <c r="C23" s="155" t="s">
        <v>224</v>
      </c>
      <c r="D23" s="156">
        <v>16.0</v>
      </c>
      <c r="E23" s="156">
        <v>16.0</v>
      </c>
      <c r="F23" s="156">
        <v>63.0</v>
      </c>
      <c r="G23" s="156">
        <v>1008.0</v>
      </c>
      <c r="H23" s="157">
        <v>1008.0</v>
      </c>
      <c r="I23" s="156">
        <v>634.77</v>
      </c>
      <c r="J23" s="158">
        <v>170.07</v>
      </c>
      <c r="K23" s="156">
        <v>446.29</v>
      </c>
      <c r="L23" s="156">
        <v>0.3</v>
      </c>
    </row>
    <row r="24">
      <c r="A24" s="154" t="s">
        <v>196</v>
      </c>
      <c r="B24" s="155" t="s">
        <v>221</v>
      </c>
      <c r="C24" s="155" t="s">
        <v>225</v>
      </c>
      <c r="D24" s="156">
        <v>22.0</v>
      </c>
      <c r="E24" s="156">
        <v>22.0</v>
      </c>
      <c r="F24" s="156">
        <v>27.0</v>
      </c>
      <c r="G24" s="156">
        <v>594.0</v>
      </c>
      <c r="H24" s="157">
        <v>594.0</v>
      </c>
      <c r="I24" s="156">
        <v>388.8</v>
      </c>
      <c r="J24" s="158">
        <v>189.47</v>
      </c>
      <c r="K24" s="156">
        <v>277.75</v>
      </c>
      <c r="L24" s="156">
        <v>0.18</v>
      </c>
    </row>
    <row r="25">
      <c r="A25" s="154" t="s">
        <v>196</v>
      </c>
      <c r="B25" s="155" t="s">
        <v>221</v>
      </c>
      <c r="C25" s="155" t="s">
        <v>226</v>
      </c>
      <c r="D25" s="156">
        <v>22.0</v>
      </c>
      <c r="E25" s="156">
        <v>22.0</v>
      </c>
      <c r="F25" s="156">
        <v>22.0</v>
      </c>
      <c r="G25" s="156">
        <v>484.0</v>
      </c>
      <c r="H25" s="157">
        <v>484.0</v>
      </c>
      <c r="I25" s="156">
        <v>316.45</v>
      </c>
      <c r="J25" s="158">
        <v>188.87</v>
      </c>
      <c r="K25" s="156">
        <v>225.97</v>
      </c>
      <c r="L25" s="156">
        <v>0.14</v>
      </c>
    </row>
    <row r="26">
      <c r="A26" s="154" t="s">
        <v>217</v>
      </c>
      <c r="B26" s="155" t="s">
        <v>227</v>
      </c>
      <c r="C26" s="155" t="s">
        <v>228</v>
      </c>
      <c r="D26" s="156">
        <v>34.24</v>
      </c>
      <c r="E26" s="156">
        <v>34.24</v>
      </c>
      <c r="F26" s="156">
        <v>135.0</v>
      </c>
      <c r="G26" s="156">
        <v>4623.0</v>
      </c>
      <c r="H26" s="157">
        <v>4623.0</v>
      </c>
      <c r="I26" s="156">
        <v>3573.69</v>
      </c>
      <c r="J26" s="158">
        <v>340.58</v>
      </c>
      <c r="K26" s="156">
        <v>2709.25</v>
      </c>
      <c r="L26" s="156">
        <v>1.38</v>
      </c>
    </row>
    <row r="27">
      <c r="A27" s="154" t="s">
        <v>190</v>
      </c>
      <c r="B27" s="155" t="s">
        <v>227</v>
      </c>
      <c r="C27" s="155" t="s">
        <v>229</v>
      </c>
      <c r="D27" s="156">
        <v>27.0</v>
      </c>
      <c r="E27" s="156">
        <v>27.0</v>
      </c>
      <c r="F27" s="156">
        <v>106.0</v>
      </c>
      <c r="G27" s="156">
        <v>2862.0</v>
      </c>
      <c r="H27" s="157">
        <v>2862.0</v>
      </c>
      <c r="I27" s="156">
        <v>2116.3</v>
      </c>
      <c r="J27" s="158">
        <v>283.8</v>
      </c>
      <c r="K27" s="156">
        <v>1581.13</v>
      </c>
      <c r="L27" s="156">
        <v>0.85</v>
      </c>
    </row>
    <row r="28">
      <c r="A28" s="154" t="s">
        <v>190</v>
      </c>
      <c r="B28" s="155" t="s">
        <v>227</v>
      </c>
      <c r="C28" s="155" t="s">
        <v>230</v>
      </c>
      <c r="D28" s="156">
        <v>22.0</v>
      </c>
      <c r="E28" s="156">
        <v>22.0</v>
      </c>
      <c r="F28" s="156">
        <v>86.0</v>
      </c>
      <c r="G28" s="156">
        <v>1892.0</v>
      </c>
      <c r="H28" s="157">
        <v>1892.0</v>
      </c>
      <c r="I28" s="156">
        <v>1441.81</v>
      </c>
      <c r="J28" s="158">
        <v>320.27</v>
      </c>
      <c r="K28" s="156">
        <v>1088.03</v>
      </c>
      <c r="L28" s="156">
        <v>0.56</v>
      </c>
    </row>
    <row r="29">
      <c r="A29" s="154" t="s">
        <v>190</v>
      </c>
      <c r="B29" s="155" t="s">
        <v>227</v>
      </c>
      <c r="C29" s="155" t="s">
        <v>231</v>
      </c>
      <c r="D29" s="156">
        <v>35.0</v>
      </c>
      <c r="E29" s="156">
        <v>35.0</v>
      </c>
      <c r="F29" s="156">
        <v>26.0</v>
      </c>
      <c r="G29" s="156">
        <v>910.0</v>
      </c>
      <c r="H29" s="157">
        <v>910.0</v>
      </c>
      <c r="I29" s="156">
        <v>715.4</v>
      </c>
      <c r="J29" s="158">
        <v>367.63</v>
      </c>
      <c r="K29" s="156">
        <v>545.28</v>
      </c>
      <c r="L29" s="156">
        <v>0.27</v>
      </c>
    </row>
    <row r="30">
      <c r="A30" s="154" t="s">
        <v>188</v>
      </c>
      <c r="B30" s="155" t="s">
        <v>227</v>
      </c>
      <c r="C30" s="155" t="s">
        <v>232</v>
      </c>
      <c r="D30" s="156">
        <v>115.0</v>
      </c>
      <c r="E30" s="156">
        <v>115.0</v>
      </c>
      <c r="F30" s="156">
        <v>21.0</v>
      </c>
      <c r="G30" s="156">
        <v>2415.0</v>
      </c>
      <c r="H30" s="157">
        <v>2415.0</v>
      </c>
      <c r="I30" s="156">
        <v>1755.39</v>
      </c>
      <c r="J30" s="158">
        <v>266.13</v>
      </c>
      <c r="K30" s="156">
        <v>1303.82</v>
      </c>
      <c r="L30" s="156">
        <v>0.72</v>
      </c>
    </row>
    <row r="31">
      <c r="A31" s="154" t="s">
        <v>190</v>
      </c>
      <c r="B31" s="155" t="s">
        <v>227</v>
      </c>
      <c r="C31" s="155" t="s">
        <v>233</v>
      </c>
      <c r="D31" s="156">
        <v>30.0</v>
      </c>
      <c r="E31" s="156">
        <v>30.0</v>
      </c>
      <c r="F31" s="156">
        <v>20.0</v>
      </c>
      <c r="G31" s="156">
        <v>600.0</v>
      </c>
      <c r="H31" s="157">
        <v>600.0</v>
      </c>
      <c r="I31" s="156">
        <v>495.3</v>
      </c>
      <c r="J31" s="158">
        <v>473.07</v>
      </c>
      <c r="K31" s="156">
        <v>383.1</v>
      </c>
      <c r="L31" s="156">
        <v>0.18</v>
      </c>
    </row>
    <row r="32">
      <c r="A32" s="154" t="s">
        <v>190</v>
      </c>
      <c r="B32" s="155" t="s">
        <v>227</v>
      </c>
      <c r="C32" s="155" t="s">
        <v>234</v>
      </c>
      <c r="D32" s="156">
        <v>32.0</v>
      </c>
      <c r="E32" s="156">
        <v>32.0</v>
      </c>
      <c r="F32" s="156">
        <v>20.0</v>
      </c>
      <c r="G32" s="156">
        <v>640.0</v>
      </c>
      <c r="H32" s="157">
        <v>640.0</v>
      </c>
      <c r="I32" s="156">
        <v>469.13</v>
      </c>
      <c r="J32" s="158">
        <v>274.55</v>
      </c>
      <c r="K32" s="156">
        <v>349.48</v>
      </c>
      <c r="L32" s="156">
        <v>0.19</v>
      </c>
    </row>
    <row r="33">
      <c r="A33" s="154" t="s">
        <v>190</v>
      </c>
      <c r="B33" s="155" t="s">
        <v>227</v>
      </c>
      <c r="C33" s="155" t="s">
        <v>235</v>
      </c>
      <c r="D33" s="156">
        <v>26.0</v>
      </c>
      <c r="E33" s="156">
        <v>26.0</v>
      </c>
      <c r="F33" s="156">
        <v>16.0</v>
      </c>
      <c r="G33" s="156">
        <v>416.0</v>
      </c>
      <c r="H33" s="157">
        <v>416.0</v>
      </c>
      <c r="I33" s="156">
        <v>320.24</v>
      </c>
      <c r="J33" s="158">
        <v>334.42</v>
      </c>
      <c r="K33" s="156">
        <v>242.46</v>
      </c>
      <c r="L33" s="156">
        <v>0.12</v>
      </c>
    </row>
    <row r="34">
      <c r="A34" s="154" t="s">
        <v>190</v>
      </c>
      <c r="B34" s="155" t="s">
        <v>227</v>
      </c>
      <c r="C34" s="155" t="s">
        <v>236</v>
      </c>
      <c r="D34" s="156">
        <v>23.0</v>
      </c>
      <c r="E34" s="156">
        <v>23.0</v>
      </c>
      <c r="F34" s="156">
        <v>16.0</v>
      </c>
      <c r="G34" s="156">
        <v>368.0</v>
      </c>
      <c r="H34" s="157">
        <v>368.0</v>
      </c>
      <c r="I34" s="156">
        <v>273.5</v>
      </c>
      <c r="J34" s="158">
        <v>289.42</v>
      </c>
      <c r="K34" s="156">
        <v>204.7</v>
      </c>
      <c r="L34" s="156">
        <v>0.11</v>
      </c>
    </row>
    <row r="35">
      <c r="A35" s="154" t="s">
        <v>190</v>
      </c>
      <c r="B35" s="155" t="s">
        <v>227</v>
      </c>
      <c r="C35" s="155" t="s">
        <v>237</v>
      </c>
      <c r="D35" s="156">
        <v>30.0</v>
      </c>
      <c r="E35" s="156">
        <v>30.0</v>
      </c>
      <c r="F35" s="156">
        <v>15.0</v>
      </c>
      <c r="G35" s="156">
        <v>450.0</v>
      </c>
      <c r="H35" s="157">
        <v>450.0</v>
      </c>
      <c r="I35" s="156">
        <v>348.98</v>
      </c>
      <c r="J35" s="158">
        <v>345.46</v>
      </c>
      <c r="K35" s="156">
        <v>264.83</v>
      </c>
      <c r="L35" s="156">
        <v>0.13</v>
      </c>
    </row>
    <row r="36">
      <c r="A36" s="154" t="s">
        <v>188</v>
      </c>
      <c r="B36" s="155" t="s">
        <v>227</v>
      </c>
      <c r="C36" s="155" t="s">
        <v>238</v>
      </c>
      <c r="D36" s="156">
        <v>145.0</v>
      </c>
      <c r="E36" s="156">
        <v>145.0</v>
      </c>
      <c r="F36" s="156">
        <v>13.0</v>
      </c>
      <c r="G36" s="156">
        <v>1885.0</v>
      </c>
      <c r="H36" s="157">
        <v>1885.0</v>
      </c>
      <c r="I36" s="156">
        <v>1336.26</v>
      </c>
      <c r="J36" s="158">
        <v>243.51</v>
      </c>
      <c r="K36" s="156">
        <v>983.8</v>
      </c>
      <c r="L36" s="156">
        <v>0.56</v>
      </c>
    </row>
    <row r="37">
      <c r="A37" s="154" t="s">
        <v>188</v>
      </c>
      <c r="B37" s="155" t="s">
        <v>227</v>
      </c>
      <c r="C37" s="155" t="s">
        <v>239</v>
      </c>
      <c r="D37" s="156">
        <v>26.0</v>
      </c>
      <c r="E37" s="156">
        <v>26.0</v>
      </c>
      <c r="F37" s="156">
        <v>9.0</v>
      </c>
      <c r="G37" s="156">
        <v>234.0</v>
      </c>
      <c r="H37" s="157">
        <v>234.0</v>
      </c>
      <c r="I37" s="156">
        <v>194.98</v>
      </c>
      <c r="J37" s="158">
        <v>499.69</v>
      </c>
      <c r="K37" s="156">
        <v>151.24</v>
      </c>
      <c r="L37" s="156">
        <v>0.07</v>
      </c>
    </row>
    <row r="38">
      <c r="A38" s="154" t="s">
        <v>188</v>
      </c>
      <c r="B38" s="155" t="s">
        <v>227</v>
      </c>
      <c r="C38" s="155" t="s">
        <v>240</v>
      </c>
      <c r="D38" s="156">
        <v>100.0</v>
      </c>
      <c r="E38" s="156">
        <v>100.0</v>
      </c>
      <c r="F38" s="156">
        <v>6.0</v>
      </c>
      <c r="G38" s="156">
        <v>600.0</v>
      </c>
      <c r="H38" s="157">
        <v>600.0</v>
      </c>
      <c r="I38" s="156">
        <v>453.19</v>
      </c>
      <c r="J38" s="158">
        <v>308.69</v>
      </c>
      <c r="K38" s="156">
        <v>340.99</v>
      </c>
      <c r="L38" s="156">
        <v>0.18</v>
      </c>
    </row>
    <row r="39">
      <c r="A39" s="154" t="s">
        <v>188</v>
      </c>
      <c r="B39" s="155" t="s">
        <v>227</v>
      </c>
      <c r="C39" s="155" t="s">
        <v>241</v>
      </c>
      <c r="D39" s="156">
        <v>125.0</v>
      </c>
      <c r="E39" s="156">
        <v>125.0</v>
      </c>
      <c r="F39" s="156">
        <v>6.0</v>
      </c>
      <c r="G39" s="156">
        <v>750.0</v>
      </c>
      <c r="H39" s="157">
        <v>750.0</v>
      </c>
      <c r="I39" s="156">
        <v>536.92</v>
      </c>
      <c r="J39" s="158">
        <v>251.98</v>
      </c>
      <c r="K39" s="156">
        <v>396.69</v>
      </c>
      <c r="L39" s="156">
        <v>0.22</v>
      </c>
    </row>
    <row r="40">
      <c r="A40" s="154" t="s">
        <v>188</v>
      </c>
      <c r="B40" s="155" t="s">
        <v>227</v>
      </c>
      <c r="C40" s="155" t="s">
        <v>242</v>
      </c>
      <c r="D40" s="156">
        <v>170.0</v>
      </c>
      <c r="E40" s="156">
        <v>170.0</v>
      </c>
      <c r="F40" s="156">
        <v>6.0</v>
      </c>
      <c r="G40" s="156">
        <v>1020.0</v>
      </c>
      <c r="H40" s="157">
        <v>1020.0</v>
      </c>
      <c r="I40" s="156">
        <v>750.54</v>
      </c>
      <c r="J40" s="158">
        <v>278.53</v>
      </c>
      <c r="K40" s="156">
        <v>559.8</v>
      </c>
      <c r="L40" s="156">
        <v>0.3</v>
      </c>
    </row>
    <row r="41">
      <c r="A41" s="154" t="s">
        <v>188</v>
      </c>
      <c r="B41" s="155" t="s">
        <v>227</v>
      </c>
      <c r="C41" s="155" t="s">
        <v>243</v>
      </c>
      <c r="D41" s="156">
        <v>130.0</v>
      </c>
      <c r="E41" s="156">
        <v>130.0</v>
      </c>
      <c r="F41" s="156">
        <v>5.0</v>
      </c>
      <c r="G41" s="156">
        <v>650.0</v>
      </c>
      <c r="H41" s="157">
        <v>650.0</v>
      </c>
      <c r="I41" s="156">
        <v>483.94</v>
      </c>
      <c r="J41" s="158">
        <v>291.42</v>
      </c>
      <c r="K41" s="156">
        <v>362.39</v>
      </c>
      <c r="L41" s="156">
        <v>0.19</v>
      </c>
    </row>
    <row r="42">
      <c r="A42" s="154" t="s">
        <v>188</v>
      </c>
      <c r="B42" s="155" t="s">
        <v>227</v>
      </c>
      <c r="C42" s="155" t="s">
        <v>244</v>
      </c>
      <c r="D42" s="156">
        <v>12.0</v>
      </c>
      <c r="E42" s="156">
        <v>12.0</v>
      </c>
      <c r="F42" s="156">
        <v>5.0</v>
      </c>
      <c r="G42" s="156">
        <v>60.0</v>
      </c>
      <c r="H42" s="157">
        <v>60.0</v>
      </c>
      <c r="I42" s="156">
        <v>41.87</v>
      </c>
      <c r="J42" s="158">
        <v>230.94</v>
      </c>
      <c r="K42" s="156">
        <v>30.67</v>
      </c>
      <c r="L42" s="156">
        <v>0.02</v>
      </c>
    </row>
    <row r="43">
      <c r="A43" s="154" t="s">
        <v>190</v>
      </c>
      <c r="B43" s="155" t="s">
        <v>227</v>
      </c>
      <c r="C43" s="155" t="s">
        <v>245</v>
      </c>
      <c r="D43" s="156">
        <v>30.0</v>
      </c>
      <c r="E43" s="156">
        <v>30.0</v>
      </c>
      <c r="F43" s="156">
        <v>5.0</v>
      </c>
      <c r="G43" s="156">
        <v>150.0</v>
      </c>
      <c r="H43" s="157">
        <v>150.0</v>
      </c>
      <c r="I43" s="156">
        <v>109.25</v>
      </c>
      <c r="J43" s="158">
        <v>268.1</v>
      </c>
      <c r="K43" s="156">
        <v>81.2</v>
      </c>
      <c r="L43" s="156">
        <v>0.04</v>
      </c>
    </row>
    <row r="44">
      <c r="A44" s="154" t="s">
        <v>188</v>
      </c>
      <c r="B44" s="155" t="s">
        <v>227</v>
      </c>
      <c r="C44" s="155" t="s">
        <v>246</v>
      </c>
      <c r="D44" s="156">
        <v>136.0</v>
      </c>
      <c r="E44" s="156">
        <v>136.0</v>
      </c>
      <c r="F44" s="156">
        <v>4.0</v>
      </c>
      <c r="G44" s="156">
        <v>544.0</v>
      </c>
      <c r="H44" s="157">
        <v>544.0</v>
      </c>
      <c r="I44" s="156">
        <v>400.36</v>
      </c>
      <c r="J44" s="158">
        <v>278.72</v>
      </c>
      <c r="K44" s="156">
        <v>298.64</v>
      </c>
      <c r="L44" s="156">
        <v>0.16</v>
      </c>
    </row>
    <row r="45">
      <c r="A45" s="154" t="s">
        <v>188</v>
      </c>
      <c r="B45" s="155" t="s">
        <v>227</v>
      </c>
      <c r="C45" s="155" t="s">
        <v>247</v>
      </c>
      <c r="D45" s="156">
        <v>140.0</v>
      </c>
      <c r="E45" s="156">
        <v>140.0</v>
      </c>
      <c r="F45" s="156">
        <v>4.0</v>
      </c>
      <c r="G45" s="156">
        <v>560.0</v>
      </c>
      <c r="H45" s="157">
        <v>560.0</v>
      </c>
      <c r="I45" s="156">
        <v>455.97</v>
      </c>
      <c r="J45" s="158">
        <v>438.31</v>
      </c>
      <c r="K45" s="156">
        <v>351.25</v>
      </c>
      <c r="L45" s="156">
        <v>0.17</v>
      </c>
    </row>
    <row r="46">
      <c r="A46" s="154" t="s">
        <v>188</v>
      </c>
      <c r="B46" s="155" t="s">
        <v>227</v>
      </c>
      <c r="C46" s="155" t="s">
        <v>248</v>
      </c>
      <c r="D46" s="156">
        <v>200.0</v>
      </c>
      <c r="E46" s="156">
        <v>200.0</v>
      </c>
      <c r="F46" s="156">
        <v>3.0</v>
      </c>
      <c r="G46" s="156">
        <v>600.0</v>
      </c>
      <c r="H46" s="157">
        <v>600.0</v>
      </c>
      <c r="I46" s="156">
        <v>446.21</v>
      </c>
      <c r="J46" s="158">
        <v>290.14</v>
      </c>
      <c r="K46" s="156">
        <v>334.01</v>
      </c>
      <c r="L46" s="156">
        <v>0.18</v>
      </c>
    </row>
    <row r="47">
      <c r="A47" s="154" t="s">
        <v>188</v>
      </c>
      <c r="B47" s="155" t="s">
        <v>227</v>
      </c>
      <c r="C47" s="155" t="s">
        <v>249</v>
      </c>
      <c r="D47" s="156">
        <v>150.0</v>
      </c>
      <c r="E47" s="156">
        <v>150.0</v>
      </c>
      <c r="F47" s="156">
        <v>2.0</v>
      </c>
      <c r="G47" s="156">
        <v>300.0</v>
      </c>
      <c r="H47" s="157">
        <v>300.0</v>
      </c>
      <c r="I47" s="156">
        <v>237.18</v>
      </c>
      <c r="J47" s="158">
        <v>377.55</v>
      </c>
      <c r="K47" s="156">
        <v>181.08</v>
      </c>
      <c r="L47" s="156">
        <v>0.09</v>
      </c>
    </row>
    <row r="48">
      <c r="A48" s="154" t="s">
        <v>190</v>
      </c>
      <c r="B48" s="155" t="s">
        <v>227</v>
      </c>
      <c r="C48" s="155" t="s">
        <v>250</v>
      </c>
      <c r="D48" s="156">
        <v>24.0</v>
      </c>
      <c r="E48" s="156">
        <v>24.0</v>
      </c>
      <c r="F48" s="156">
        <v>2.0</v>
      </c>
      <c r="G48" s="156">
        <v>48.0</v>
      </c>
      <c r="H48" s="157">
        <v>48.0</v>
      </c>
      <c r="I48" s="156">
        <v>39.14</v>
      </c>
      <c r="J48" s="158">
        <v>441.76</v>
      </c>
      <c r="K48" s="156">
        <v>30.16</v>
      </c>
      <c r="L48" s="156">
        <v>0.01</v>
      </c>
    </row>
    <row r="49">
      <c r="A49" s="154" t="s">
        <v>190</v>
      </c>
      <c r="B49" s="155" t="s">
        <v>227</v>
      </c>
      <c r="C49" s="155" t="s">
        <v>251</v>
      </c>
      <c r="D49" s="156">
        <v>37.0</v>
      </c>
      <c r="E49" s="156">
        <v>37.0</v>
      </c>
      <c r="F49" s="156">
        <v>2.0</v>
      </c>
      <c r="G49" s="156">
        <v>74.0</v>
      </c>
      <c r="H49" s="157">
        <v>74.0</v>
      </c>
      <c r="I49" s="156">
        <v>52.27</v>
      </c>
      <c r="J49" s="158">
        <v>240.54</v>
      </c>
      <c r="K49" s="156">
        <v>38.43</v>
      </c>
      <c r="L49" s="156">
        <v>0.02</v>
      </c>
    </row>
    <row r="50">
      <c r="A50" s="154" t="s">
        <v>190</v>
      </c>
      <c r="B50" s="155" t="s">
        <v>227</v>
      </c>
      <c r="C50" s="155" t="s">
        <v>252</v>
      </c>
      <c r="D50" s="156">
        <v>32.0</v>
      </c>
      <c r="E50" s="156">
        <v>32.0</v>
      </c>
      <c r="F50" s="156">
        <v>2.0</v>
      </c>
      <c r="G50" s="156">
        <v>64.0</v>
      </c>
      <c r="H50" s="157">
        <v>64.0</v>
      </c>
      <c r="I50" s="156">
        <v>45.76</v>
      </c>
      <c r="J50" s="158">
        <v>250.88</v>
      </c>
      <c r="K50" s="156">
        <v>33.8</v>
      </c>
      <c r="L50" s="156">
        <v>0.02</v>
      </c>
    </row>
    <row r="51">
      <c r="A51" s="154" t="s">
        <v>190</v>
      </c>
      <c r="B51" s="155" t="s">
        <v>227</v>
      </c>
      <c r="C51" s="155" t="s">
        <v>253</v>
      </c>
      <c r="D51" s="156">
        <v>19.0</v>
      </c>
      <c r="E51" s="156">
        <v>19.0</v>
      </c>
      <c r="F51" s="156">
        <v>1.5</v>
      </c>
      <c r="G51" s="156">
        <v>28.5</v>
      </c>
      <c r="H51" s="157">
        <v>28.5</v>
      </c>
      <c r="I51" s="156">
        <v>19.08</v>
      </c>
      <c r="J51" s="158">
        <v>202.55</v>
      </c>
      <c r="K51" s="156">
        <v>13.75</v>
      </c>
      <c r="L51" s="156">
        <v>0.01</v>
      </c>
    </row>
    <row r="52">
      <c r="A52" s="154" t="s">
        <v>188</v>
      </c>
      <c r="B52" s="155" t="s">
        <v>227</v>
      </c>
      <c r="C52" s="155" t="s">
        <v>254</v>
      </c>
      <c r="D52" s="156">
        <v>150.0</v>
      </c>
      <c r="E52" s="156">
        <v>150.0</v>
      </c>
      <c r="F52" s="156">
        <v>1.0</v>
      </c>
      <c r="G52" s="156">
        <v>150.0</v>
      </c>
      <c r="H52" s="157">
        <v>150.0</v>
      </c>
      <c r="I52" s="156">
        <v>109.59</v>
      </c>
      <c r="J52" s="158">
        <v>271.2</v>
      </c>
      <c r="K52" s="156">
        <v>81.54</v>
      </c>
      <c r="L52" s="156">
        <v>0.04</v>
      </c>
    </row>
    <row r="53">
      <c r="A53" s="154" t="s">
        <v>190</v>
      </c>
      <c r="B53" s="155" t="s">
        <v>227</v>
      </c>
      <c r="C53" s="155" t="s">
        <v>255</v>
      </c>
      <c r="D53" s="156">
        <v>16.0</v>
      </c>
      <c r="E53" s="156">
        <v>16.0</v>
      </c>
      <c r="F53" s="156">
        <v>1.0</v>
      </c>
      <c r="G53" s="156">
        <v>16.0</v>
      </c>
      <c r="H53" s="157">
        <v>16.0</v>
      </c>
      <c r="I53" s="156">
        <v>11.04</v>
      </c>
      <c r="J53" s="158">
        <v>222.58</v>
      </c>
      <c r="K53" s="156">
        <v>8.05</v>
      </c>
      <c r="L53" s="156">
        <v>0.0</v>
      </c>
    </row>
    <row r="54">
      <c r="A54" s="154" t="s">
        <v>188</v>
      </c>
      <c r="B54" s="155" t="s">
        <v>227</v>
      </c>
      <c r="C54" s="155" t="s">
        <v>256</v>
      </c>
      <c r="D54" s="156">
        <v>200.0</v>
      </c>
      <c r="E54" s="156">
        <v>200.0</v>
      </c>
      <c r="F54" s="156">
        <v>1.0</v>
      </c>
      <c r="G54" s="156">
        <v>200.0</v>
      </c>
      <c r="H54" s="157">
        <v>200.0</v>
      </c>
      <c r="I54" s="156">
        <v>123.5</v>
      </c>
      <c r="J54" s="158">
        <v>161.44</v>
      </c>
      <c r="K54" s="156">
        <v>86.1</v>
      </c>
      <c r="L54" s="156">
        <v>0.06</v>
      </c>
    </row>
    <row r="55">
      <c r="A55" s="154" t="s">
        <v>188</v>
      </c>
      <c r="B55" s="155" t="s">
        <v>227</v>
      </c>
      <c r="C55" s="155" t="s">
        <v>257</v>
      </c>
      <c r="D55" s="156">
        <v>260.0</v>
      </c>
      <c r="E55" s="156">
        <v>260.0</v>
      </c>
      <c r="F55" s="156">
        <v>1.0</v>
      </c>
      <c r="G55" s="156">
        <v>260.0</v>
      </c>
      <c r="H55" s="157">
        <v>260.0</v>
      </c>
      <c r="I55" s="156">
        <v>129.5</v>
      </c>
      <c r="J55" s="158">
        <v>99.23</v>
      </c>
      <c r="K55" s="156">
        <v>80.88</v>
      </c>
      <c r="L55" s="156">
        <v>0.08</v>
      </c>
    </row>
    <row r="56">
      <c r="A56" s="154" t="s">
        <v>188</v>
      </c>
      <c r="B56" s="155" t="s">
        <v>227</v>
      </c>
      <c r="C56" s="155" t="s">
        <v>258</v>
      </c>
      <c r="D56" s="156">
        <v>126.0</v>
      </c>
      <c r="E56" s="156">
        <v>126.0</v>
      </c>
      <c r="F56" s="156">
        <v>1.0</v>
      </c>
      <c r="G56" s="156">
        <v>126.0</v>
      </c>
      <c r="H56" s="157">
        <v>126.0</v>
      </c>
      <c r="I56" s="156">
        <v>99.42</v>
      </c>
      <c r="J56" s="158">
        <v>374.04</v>
      </c>
      <c r="K56" s="156">
        <v>75.86</v>
      </c>
      <c r="L56" s="156">
        <v>0.04</v>
      </c>
    </row>
    <row r="57">
      <c r="A57" s="154" t="s">
        <v>188</v>
      </c>
      <c r="B57" s="155" t="s">
        <v>227</v>
      </c>
      <c r="C57" s="155" t="s">
        <v>259</v>
      </c>
      <c r="D57" s="156">
        <v>150.0</v>
      </c>
      <c r="E57" s="156">
        <v>150.0</v>
      </c>
      <c r="F57" s="156">
        <v>1.0</v>
      </c>
      <c r="G57" s="156">
        <v>150.0</v>
      </c>
      <c r="H57" s="157">
        <v>150.0</v>
      </c>
      <c r="I57" s="156">
        <v>101.1</v>
      </c>
      <c r="J57" s="158">
        <v>206.75</v>
      </c>
      <c r="K57" s="156">
        <v>73.05</v>
      </c>
      <c r="L57" s="156">
        <v>0.04</v>
      </c>
    </row>
    <row r="58">
      <c r="A58" s="154" t="s">
        <v>188</v>
      </c>
      <c r="B58" s="155" t="s">
        <v>227</v>
      </c>
      <c r="C58" s="155" t="s">
        <v>260</v>
      </c>
      <c r="D58" s="156">
        <v>350.0</v>
      </c>
      <c r="E58" s="156">
        <v>350.0</v>
      </c>
      <c r="F58" s="156">
        <v>1.0</v>
      </c>
      <c r="G58" s="156">
        <v>350.0</v>
      </c>
      <c r="H58" s="157">
        <v>350.0</v>
      </c>
      <c r="I58" s="156">
        <v>143.9</v>
      </c>
      <c r="J58" s="158">
        <v>69.82</v>
      </c>
      <c r="K58" s="156">
        <v>78.45</v>
      </c>
      <c r="L58" s="156">
        <v>0.1</v>
      </c>
    </row>
    <row r="59">
      <c r="A59" s="154" t="s">
        <v>188</v>
      </c>
      <c r="B59" s="155" t="s">
        <v>227</v>
      </c>
      <c r="C59" s="155" t="s">
        <v>261</v>
      </c>
      <c r="D59" s="156">
        <v>165.0</v>
      </c>
      <c r="E59" s="156">
        <v>165.0</v>
      </c>
      <c r="F59" s="156">
        <v>1.0</v>
      </c>
      <c r="G59" s="156">
        <v>165.0</v>
      </c>
      <c r="H59" s="157">
        <v>165.0</v>
      </c>
      <c r="I59" s="156">
        <v>116.91</v>
      </c>
      <c r="J59" s="158">
        <v>243.11</v>
      </c>
      <c r="K59" s="156">
        <v>86.06</v>
      </c>
      <c r="L59" s="156">
        <v>0.05</v>
      </c>
    </row>
    <row r="60">
      <c r="A60" s="154" t="s">
        <v>217</v>
      </c>
      <c r="B60" s="155" t="s">
        <v>262</v>
      </c>
      <c r="C60" s="155" t="s">
        <v>263</v>
      </c>
      <c r="D60" s="156">
        <v>34.11</v>
      </c>
      <c r="E60" s="156">
        <v>34.11</v>
      </c>
      <c r="F60" s="156">
        <v>175.0</v>
      </c>
      <c r="G60" s="156">
        <v>5969.0</v>
      </c>
      <c r="H60" s="157">
        <v>5969.0</v>
      </c>
      <c r="I60" s="156">
        <v>4183.06</v>
      </c>
      <c r="J60" s="158">
        <v>234.22</v>
      </c>
      <c r="K60" s="156">
        <v>3066.91</v>
      </c>
      <c r="L60" s="156">
        <v>1.78</v>
      </c>
    </row>
    <row r="61">
      <c r="A61" s="154" t="s">
        <v>217</v>
      </c>
      <c r="B61" s="155" t="s">
        <v>262</v>
      </c>
      <c r="C61" s="155" t="s">
        <v>264</v>
      </c>
      <c r="D61" s="156">
        <v>34.22</v>
      </c>
      <c r="E61" s="156">
        <v>34.22</v>
      </c>
      <c r="F61" s="156">
        <v>88.0</v>
      </c>
      <c r="G61" s="156">
        <v>3011.0</v>
      </c>
      <c r="H61" s="157">
        <v>3011.0</v>
      </c>
      <c r="I61" s="156">
        <v>1826.34</v>
      </c>
      <c r="J61" s="158">
        <v>154.17</v>
      </c>
      <c r="K61" s="156">
        <v>1263.34</v>
      </c>
      <c r="L61" s="156">
        <v>0.9</v>
      </c>
    </row>
    <row r="62">
      <c r="A62" s="154" t="s">
        <v>217</v>
      </c>
      <c r="B62" s="155" t="s">
        <v>262</v>
      </c>
      <c r="C62" s="155" t="s">
        <v>265</v>
      </c>
      <c r="D62" s="156">
        <v>33.87</v>
      </c>
      <c r="E62" s="156">
        <v>33.87</v>
      </c>
      <c r="F62" s="156">
        <v>45.0</v>
      </c>
      <c r="G62" s="156">
        <v>1524.0</v>
      </c>
      <c r="H62" s="157">
        <v>1524.0</v>
      </c>
      <c r="I62" s="156">
        <v>1131.73</v>
      </c>
      <c r="J62" s="158">
        <v>288.51</v>
      </c>
      <c r="K62" s="156">
        <v>846.81</v>
      </c>
      <c r="L62" s="156">
        <v>0.45</v>
      </c>
    </row>
    <row r="63">
      <c r="A63" s="154" t="s">
        <v>266</v>
      </c>
      <c r="B63" s="155" t="s">
        <v>262</v>
      </c>
      <c r="C63" s="155" t="s">
        <v>267</v>
      </c>
      <c r="D63" s="156">
        <v>13.0</v>
      </c>
      <c r="E63" s="156">
        <v>13.0</v>
      </c>
      <c r="F63" s="156">
        <v>41.0</v>
      </c>
      <c r="G63" s="156">
        <v>533.0</v>
      </c>
      <c r="H63" s="157">
        <v>533.0</v>
      </c>
      <c r="I63" s="156">
        <v>385.37</v>
      </c>
      <c r="J63" s="158">
        <v>261.04</v>
      </c>
      <c r="K63" s="156">
        <v>285.7</v>
      </c>
      <c r="L63" s="156">
        <v>0.16</v>
      </c>
    </row>
    <row r="64">
      <c r="A64" s="154" t="s">
        <v>217</v>
      </c>
      <c r="B64" s="155" t="s">
        <v>262</v>
      </c>
      <c r="C64" s="155" t="s">
        <v>268</v>
      </c>
      <c r="D64" s="156">
        <v>34.31</v>
      </c>
      <c r="E64" s="156">
        <v>34.31</v>
      </c>
      <c r="F64" s="156">
        <v>35.0</v>
      </c>
      <c r="G64" s="156">
        <v>1201.0</v>
      </c>
      <c r="H64" s="157">
        <v>1201.0</v>
      </c>
      <c r="I64" s="156">
        <v>904.85</v>
      </c>
      <c r="J64" s="158">
        <v>305.54</v>
      </c>
      <c r="K64" s="156">
        <v>680.3</v>
      </c>
      <c r="L64" s="156">
        <v>0.36</v>
      </c>
    </row>
    <row r="65">
      <c r="A65" s="154" t="s">
        <v>217</v>
      </c>
      <c r="B65" s="155" t="s">
        <v>262</v>
      </c>
      <c r="C65" s="155" t="s">
        <v>269</v>
      </c>
      <c r="D65" s="156">
        <v>33.73</v>
      </c>
      <c r="E65" s="156">
        <v>33.73</v>
      </c>
      <c r="F65" s="156">
        <v>26.0</v>
      </c>
      <c r="G65" s="156">
        <v>877.0</v>
      </c>
      <c r="H65" s="157">
        <v>877.0</v>
      </c>
      <c r="I65" s="156">
        <v>637.22</v>
      </c>
      <c r="J65" s="158">
        <v>265.75</v>
      </c>
      <c r="K65" s="156">
        <v>473.28</v>
      </c>
      <c r="L65" s="156">
        <v>0.26</v>
      </c>
    </row>
    <row r="66">
      <c r="A66" s="154" t="s">
        <v>266</v>
      </c>
      <c r="B66" s="155" t="s">
        <v>262</v>
      </c>
      <c r="C66" s="155" t="s">
        <v>270</v>
      </c>
      <c r="D66" s="156">
        <v>14.0</v>
      </c>
      <c r="E66" s="156">
        <v>14.0</v>
      </c>
      <c r="F66" s="156">
        <v>22.0</v>
      </c>
      <c r="G66" s="156">
        <v>308.0</v>
      </c>
      <c r="H66" s="157">
        <v>308.0</v>
      </c>
      <c r="I66" s="156">
        <v>212.18</v>
      </c>
      <c r="J66" s="158">
        <v>221.44</v>
      </c>
      <c r="K66" s="156">
        <v>154.58</v>
      </c>
      <c r="L66" s="156">
        <v>0.09</v>
      </c>
    </row>
    <row r="67">
      <c r="A67" s="154" t="s">
        <v>266</v>
      </c>
      <c r="B67" s="155" t="s">
        <v>262</v>
      </c>
      <c r="C67" s="155" t="s">
        <v>271</v>
      </c>
      <c r="D67" s="156">
        <v>17.0</v>
      </c>
      <c r="E67" s="156">
        <v>17.0</v>
      </c>
      <c r="F67" s="156">
        <v>14.0</v>
      </c>
      <c r="G67" s="156">
        <v>238.0</v>
      </c>
      <c r="H67" s="157">
        <v>238.0</v>
      </c>
      <c r="I67" s="156">
        <v>160.53</v>
      </c>
      <c r="J67" s="158">
        <v>207.22</v>
      </c>
      <c r="K67" s="156">
        <v>116.02</v>
      </c>
      <c r="L67" s="156">
        <v>0.07</v>
      </c>
    </row>
    <row r="68">
      <c r="A68" s="154" t="s">
        <v>217</v>
      </c>
      <c r="B68" s="155" t="s">
        <v>262</v>
      </c>
      <c r="C68" s="155" t="s">
        <v>272</v>
      </c>
      <c r="D68" s="156">
        <v>32.0</v>
      </c>
      <c r="E68" s="156">
        <v>32.0</v>
      </c>
      <c r="F68" s="156">
        <v>7.0</v>
      </c>
      <c r="G68" s="156">
        <v>224.0</v>
      </c>
      <c r="H68" s="157">
        <v>224.0</v>
      </c>
      <c r="I68" s="156">
        <v>157.92</v>
      </c>
      <c r="J68" s="158">
        <v>238.98</v>
      </c>
      <c r="K68" s="156">
        <v>116.04</v>
      </c>
      <c r="L68" s="156">
        <v>0.07</v>
      </c>
    </row>
    <row r="69">
      <c r="A69" s="154" t="s">
        <v>273</v>
      </c>
      <c r="B69" s="155" t="s">
        <v>262</v>
      </c>
      <c r="C69" s="155" t="s">
        <v>274</v>
      </c>
      <c r="D69" s="156">
        <v>30.0</v>
      </c>
      <c r="E69" s="156">
        <v>30.0</v>
      </c>
      <c r="F69" s="156">
        <v>7.0</v>
      </c>
      <c r="G69" s="156">
        <v>210.0</v>
      </c>
      <c r="H69" s="157">
        <v>210.0</v>
      </c>
      <c r="I69" s="156">
        <v>151.06</v>
      </c>
      <c r="J69" s="158">
        <v>256.29</v>
      </c>
      <c r="K69" s="156">
        <v>111.79</v>
      </c>
      <c r="L69" s="156">
        <v>0.06</v>
      </c>
    </row>
    <row r="70">
      <c r="A70" s="154" t="s">
        <v>275</v>
      </c>
      <c r="B70" s="155" t="s">
        <v>262</v>
      </c>
      <c r="C70" s="155" t="s">
        <v>276</v>
      </c>
      <c r="D70" s="156">
        <v>24.0</v>
      </c>
      <c r="E70" s="156">
        <v>24.0</v>
      </c>
      <c r="F70" s="156">
        <v>6.0</v>
      </c>
      <c r="G70" s="156">
        <v>144.0</v>
      </c>
      <c r="H70" s="157">
        <v>144.0</v>
      </c>
      <c r="I70" s="156">
        <v>91.33</v>
      </c>
      <c r="J70" s="158">
        <v>173.4</v>
      </c>
      <c r="K70" s="156">
        <v>64.41</v>
      </c>
      <c r="L70" s="156">
        <v>0.04</v>
      </c>
    </row>
    <row r="71">
      <c r="A71" s="154" t="s">
        <v>217</v>
      </c>
      <c r="B71" s="155" t="s">
        <v>262</v>
      </c>
      <c r="C71" s="155" t="s">
        <v>277</v>
      </c>
      <c r="D71" s="156">
        <v>28.0</v>
      </c>
      <c r="E71" s="156">
        <v>28.0</v>
      </c>
      <c r="F71" s="156">
        <v>4.0</v>
      </c>
      <c r="G71" s="156">
        <v>112.0</v>
      </c>
      <c r="H71" s="157">
        <v>112.0</v>
      </c>
      <c r="I71" s="156">
        <v>74.75</v>
      </c>
      <c r="J71" s="158">
        <v>200.67</v>
      </c>
      <c r="K71" s="156">
        <v>53.8</v>
      </c>
      <c r="L71" s="156">
        <v>0.03</v>
      </c>
    </row>
    <row r="72">
      <c r="A72" s="154" t="s">
        <v>278</v>
      </c>
      <c r="B72" s="155" t="s">
        <v>262</v>
      </c>
      <c r="C72" s="155" t="s">
        <v>279</v>
      </c>
      <c r="D72" s="156">
        <v>10.0</v>
      </c>
      <c r="E72" s="156">
        <v>10.0</v>
      </c>
      <c r="F72" s="156">
        <v>4.0</v>
      </c>
      <c r="G72" s="156">
        <v>40.0</v>
      </c>
      <c r="H72" s="157">
        <v>40.0</v>
      </c>
      <c r="I72" s="156">
        <v>28.76</v>
      </c>
      <c r="J72" s="158">
        <v>255.87</v>
      </c>
      <c r="K72" s="156">
        <v>21.28</v>
      </c>
      <c r="L72" s="156">
        <v>0.01</v>
      </c>
    </row>
    <row r="73">
      <c r="A73" s="154" t="s">
        <v>266</v>
      </c>
      <c r="B73" s="155" t="s">
        <v>262</v>
      </c>
      <c r="C73" s="155" t="s">
        <v>280</v>
      </c>
      <c r="D73" s="156">
        <v>150.0</v>
      </c>
      <c r="E73" s="156">
        <v>150.0</v>
      </c>
      <c r="F73" s="156">
        <v>4.0</v>
      </c>
      <c r="G73" s="156">
        <v>600.0</v>
      </c>
      <c r="H73" s="157">
        <v>600.0</v>
      </c>
      <c r="I73" s="156">
        <v>455.96</v>
      </c>
      <c r="J73" s="158">
        <v>316.55</v>
      </c>
      <c r="K73" s="156">
        <v>343.76</v>
      </c>
      <c r="L73" s="156">
        <v>0.18</v>
      </c>
    </row>
    <row r="74">
      <c r="A74" s="154" t="s">
        <v>217</v>
      </c>
      <c r="B74" s="155" t="s">
        <v>262</v>
      </c>
      <c r="C74" s="155" t="s">
        <v>281</v>
      </c>
      <c r="D74" s="156">
        <v>15.0</v>
      </c>
      <c r="E74" s="156">
        <v>15.0</v>
      </c>
      <c r="F74" s="156">
        <v>4.0</v>
      </c>
      <c r="G74" s="156">
        <v>60.0</v>
      </c>
      <c r="H74" s="157">
        <v>60.0</v>
      </c>
      <c r="I74" s="156">
        <v>51.32</v>
      </c>
      <c r="J74" s="158">
        <v>591.24</v>
      </c>
      <c r="K74" s="156">
        <v>40.1</v>
      </c>
      <c r="L74" s="156">
        <v>0.02</v>
      </c>
    </row>
    <row r="75">
      <c r="A75" s="154" t="s">
        <v>282</v>
      </c>
      <c r="B75" s="155" t="s">
        <v>262</v>
      </c>
      <c r="C75" s="155" t="s">
        <v>283</v>
      </c>
      <c r="D75" s="156">
        <v>14.0</v>
      </c>
      <c r="E75" s="156">
        <v>14.0</v>
      </c>
      <c r="F75" s="156">
        <v>3.0</v>
      </c>
      <c r="G75" s="156">
        <v>42.0</v>
      </c>
      <c r="H75" s="157">
        <v>42.0</v>
      </c>
      <c r="I75" s="156">
        <v>42.0</v>
      </c>
      <c r="J75" s="158">
        <v>0.0</v>
      </c>
      <c r="K75" s="156">
        <v>34.14</v>
      </c>
      <c r="L75" s="156">
        <v>0.01</v>
      </c>
    </row>
    <row r="76">
      <c r="A76" s="154" t="s">
        <v>284</v>
      </c>
      <c r="B76" s="155" t="s">
        <v>262</v>
      </c>
      <c r="C76" s="155" t="s">
        <v>285</v>
      </c>
      <c r="D76" s="156">
        <v>26.0</v>
      </c>
      <c r="E76" s="156">
        <v>26.0</v>
      </c>
      <c r="F76" s="156">
        <v>3.0</v>
      </c>
      <c r="G76" s="156">
        <v>78.0</v>
      </c>
      <c r="H76" s="157">
        <v>78.0</v>
      </c>
      <c r="I76" s="156">
        <v>56.21</v>
      </c>
      <c r="J76" s="158">
        <v>257.96</v>
      </c>
      <c r="K76" s="156">
        <v>41.62</v>
      </c>
      <c r="L76" s="156">
        <v>0.02</v>
      </c>
    </row>
    <row r="77">
      <c r="A77" s="154" t="s">
        <v>286</v>
      </c>
      <c r="B77" s="155" t="s">
        <v>262</v>
      </c>
      <c r="C77" s="155" t="s">
        <v>287</v>
      </c>
      <c r="D77" s="156">
        <v>23.0</v>
      </c>
      <c r="E77" s="156">
        <v>23.0</v>
      </c>
      <c r="F77" s="156">
        <v>3.0</v>
      </c>
      <c r="G77" s="156">
        <v>69.0</v>
      </c>
      <c r="H77" s="157">
        <v>69.0</v>
      </c>
      <c r="I77" s="156">
        <v>50.53</v>
      </c>
      <c r="J77" s="158">
        <v>273.58</v>
      </c>
      <c r="K77" s="156">
        <v>37.63</v>
      </c>
      <c r="L77" s="156">
        <v>0.02</v>
      </c>
    </row>
    <row r="78">
      <c r="A78" s="154" t="s">
        <v>217</v>
      </c>
      <c r="B78" s="155" t="s">
        <v>262</v>
      </c>
      <c r="C78" s="155" t="s">
        <v>288</v>
      </c>
      <c r="D78" s="156">
        <v>32.0</v>
      </c>
      <c r="E78" s="156">
        <v>32.0</v>
      </c>
      <c r="F78" s="156">
        <v>2.0</v>
      </c>
      <c r="G78" s="156">
        <v>64.0</v>
      </c>
      <c r="H78" s="157">
        <v>64.0</v>
      </c>
      <c r="I78" s="156">
        <v>51.89</v>
      </c>
      <c r="J78" s="158">
        <v>428.49</v>
      </c>
      <c r="K78" s="156">
        <v>39.93</v>
      </c>
      <c r="L78" s="156">
        <v>0.02</v>
      </c>
    </row>
    <row r="79">
      <c r="A79" s="154" t="s">
        <v>278</v>
      </c>
      <c r="B79" s="155" t="s">
        <v>262</v>
      </c>
      <c r="C79" s="155" t="s">
        <v>289</v>
      </c>
      <c r="D79" s="156">
        <v>15.0</v>
      </c>
      <c r="E79" s="156">
        <v>15.0</v>
      </c>
      <c r="F79" s="156">
        <v>2.0</v>
      </c>
      <c r="G79" s="156">
        <v>30.0</v>
      </c>
      <c r="H79" s="157">
        <v>30.0</v>
      </c>
      <c r="I79" s="156">
        <v>19.55</v>
      </c>
      <c r="J79" s="158">
        <v>187.08</v>
      </c>
      <c r="K79" s="156">
        <v>13.94</v>
      </c>
      <c r="L79" s="156">
        <v>0.01</v>
      </c>
    </row>
    <row r="80">
      <c r="A80" s="154" t="s">
        <v>290</v>
      </c>
      <c r="B80" s="155" t="s">
        <v>262</v>
      </c>
      <c r="C80" s="155" t="s">
        <v>291</v>
      </c>
      <c r="D80" s="156">
        <v>18.0</v>
      </c>
      <c r="E80" s="156">
        <v>18.0</v>
      </c>
      <c r="F80" s="156">
        <v>1.0</v>
      </c>
      <c r="G80" s="156">
        <v>18.0</v>
      </c>
      <c r="H80" s="157">
        <v>18.0</v>
      </c>
      <c r="I80" s="156">
        <v>12.23</v>
      </c>
      <c r="J80" s="158">
        <v>211.96</v>
      </c>
      <c r="K80" s="156">
        <v>8.86</v>
      </c>
      <c r="L80" s="156">
        <v>0.01</v>
      </c>
    </row>
    <row r="81">
      <c r="A81" s="154" t="s">
        <v>217</v>
      </c>
      <c r="B81" s="155" t="s">
        <v>262</v>
      </c>
      <c r="C81" s="155" t="s">
        <v>292</v>
      </c>
      <c r="D81" s="156">
        <v>32.0</v>
      </c>
      <c r="E81" s="156">
        <v>32.0</v>
      </c>
      <c r="F81" s="156">
        <v>1.0</v>
      </c>
      <c r="G81" s="156">
        <v>32.0</v>
      </c>
      <c r="H81" s="157">
        <v>32.0</v>
      </c>
      <c r="I81" s="156">
        <v>19.18</v>
      </c>
      <c r="J81" s="158">
        <v>149.61</v>
      </c>
      <c r="K81" s="156">
        <v>13.2</v>
      </c>
      <c r="L81" s="156">
        <v>0.01</v>
      </c>
    </row>
    <row r="82">
      <c r="A82" s="154" t="s">
        <v>282</v>
      </c>
      <c r="B82" s="155" t="s">
        <v>262</v>
      </c>
      <c r="C82" s="155" t="s">
        <v>293</v>
      </c>
      <c r="D82" s="156">
        <v>17.0</v>
      </c>
      <c r="E82" s="156">
        <v>17.0</v>
      </c>
      <c r="F82" s="156">
        <v>1.0</v>
      </c>
      <c r="G82" s="156">
        <v>17.0</v>
      </c>
      <c r="H82" s="157">
        <v>17.0</v>
      </c>
      <c r="I82" s="156">
        <v>13.29</v>
      </c>
      <c r="J82" s="158">
        <v>358.22</v>
      </c>
      <c r="K82" s="156">
        <v>10.11</v>
      </c>
      <c r="L82" s="156">
        <v>0.01</v>
      </c>
    </row>
    <row r="83">
      <c r="A83" s="154" t="s">
        <v>273</v>
      </c>
      <c r="B83" s="155" t="s">
        <v>262</v>
      </c>
      <c r="C83" s="155" t="s">
        <v>294</v>
      </c>
      <c r="D83" s="156">
        <v>37.0</v>
      </c>
      <c r="E83" s="156">
        <v>37.0</v>
      </c>
      <c r="F83" s="156">
        <v>1.0</v>
      </c>
      <c r="G83" s="156">
        <v>37.0</v>
      </c>
      <c r="H83" s="157">
        <v>37.0</v>
      </c>
      <c r="I83" s="156">
        <v>24.8</v>
      </c>
      <c r="J83" s="158">
        <v>203.28</v>
      </c>
      <c r="K83" s="156">
        <v>17.88</v>
      </c>
      <c r="L83" s="156">
        <v>0.01</v>
      </c>
    </row>
    <row r="84">
      <c r="A84" s="154" t="s">
        <v>295</v>
      </c>
      <c r="B84" s="155" t="s">
        <v>296</v>
      </c>
      <c r="C84" s="155" t="s">
        <v>297</v>
      </c>
      <c r="D84" s="156">
        <v>16.26</v>
      </c>
      <c r="E84" s="156">
        <v>16.07</v>
      </c>
      <c r="F84" s="156">
        <v>265.0</v>
      </c>
      <c r="G84" s="156">
        <v>4309.0</v>
      </c>
      <c r="H84" s="157">
        <v>4258.0</v>
      </c>
      <c r="I84" s="156">
        <v>3762.95</v>
      </c>
      <c r="J84" s="158">
        <v>760.12</v>
      </c>
      <c r="K84" s="156">
        <v>2966.74</v>
      </c>
      <c r="L84" s="156">
        <v>1.27</v>
      </c>
    </row>
    <row r="85">
      <c r="A85" s="154" t="s">
        <v>295</v>
      </c>
      <c r="B85" s="155" t="s">
        <v>296</v>
      </c>
      <c r="C85" s="155" t="s">
        <v>298</v>
      </c>
      <c r="D85" s="156">
        <v>15.28</v>
      </c>
      <c r="E85" s="156">
        <v>15.2</v>
      </c>
      <c r="F85" s="156">
        <v>218.0</v>
      </c>
      <c r="G85" s="156">
        <v>3330.0</v>
      </c>
      <c r="H85" s="157">
        <v>3314.0</v>
      </c>
      <c r="I85" s="156">
        <v>3084.77</v>
      </c>
      <c r="J85" s="158">
        <v>1345.71</v>
      </c>
      <c r="K85" s="156">
        <v>2465.09</v>
      </c>
      <c r="L85" s="156">
        <v>0.99</v>
      </c>
    </row>
    <row r="86">
      <c r="A86" s="154" t="s">
        <v>295</v>
      </c>
      <c r="B86" s="155" t="s">
        <v>296</v>
      </c>
      <c r="C86" s="155" t="s">
        <v>299</v>
      </c>
      <c r="D86" s="156">
        <v>19.55</v>
      </c>
      <c r="E86" s="156">
        <v>19.55</v>
      </c>
      <c r="F86" s="156">
        <v>170.0</v>
      </c>
      <c r="G86" s="156">
        <v>3324.0</v>
      </c>
      <c r="H86" s="157">
        <v>3324.0</v>
      </c>
      <c r="I86" s="156">
        <v>2444.62</v>
      </c>
      <c r="J86" s="158">
        <v>277.99</v>
      </c>
      <c r="K86" s="156">
        <v>1823.02</v>
      </c>
      <c r="L86" s="156">
        <v>0.99</v>
      </c>
    </row>
    <row r="87">
      <c r="A87" s="154" t="s">
        <v>300</v>
      </c>
      <c r="B87" s="155" t="s">
        <v>296</v>
      </c>
      <c r="C87" s="155" t="s">
        <v>301</v>
      </c>
      <c r="D87" s="156">
        <v>19.0</v>
      </c>
      <c r="E87" s="156">
        <v>19.0</v>
      </c>
      <c r="F87" s="156">
        <v>137.0</v>
      </c>
      <c r="G87" s="156">
        <v>2603.0</v>
      </c>
      <c r="H87" s="157">
        <v>2603.0</v>
      </c>
      <c r="I87" s="156">
        <v>2198.11</v>
      </c>
      <c r="J87" s="158">
        <v>542.89</v>
      </c>
      <c r="K87" s="156">
        <v>1711.36</v>
      </c>
      <c r="L87" s="156">
        <v>0.78</v>
      </c>
    </row>
    <row r="88">
      <c r="A88" s="154" t="s">
        <v>300</v>
      </c>
      <c r="B88" s="155" t="s">
        <v>296</v>
      </c>
      <c r="C88" s="155" t="s">
        <v>302</v>
      </c>
      <c r="D88" s="156">
        <v>17.0</v>
      </c>
      <c r="E88" s="156">
        <v>16.87</v>
      </c>
      <c r="F88" s="156">
        <v>131.0</v>
      </c>
      <c r="G88" s="156">
        <v>2227.0</v>
      </c>
      <c r="H88" s="157">
        <v>2210.0</v>
      </c>
      <c r="I88" s="156">
        <v>1978.94</v>
      </c>
      <c r="J88" s="158">
        <v>856.46</v>
      </c>
      <c r="K88" s="156">
        <v>1565.66</v>
      </c>
      <c r="L88" s="156">
        <v>0.66</v>
      </c>
    </row>
    <row r="89">
      <c r="A89" s="154" t="s">
        <v>295</v>
      </c>
      <c r="B89" s="155" t="s">
        <v>296</v>
      </c>
      <c r="C89" s="155" t="s">
        <v>303</v>
      </c>
      <c r="D89" s="156">
        <v>16.68</v>
      </c>
      <c r="E89" s="156">
        <v>16.68</v>
      </c>
      <c r="F89" s="156">
        <v>128.0</v>
      </c>
      <c r="G89" s="156">
        <v>2135.0</v>
      </c>
      <c r="H89" s="157">
        <v>2135.0</v>
      </c>
      <c r="I89" s="156">
        <v>1895.85</v>
      </c>
      <c r="J89" s="158">
        <v>792.75</v>
      </c>
      <c r="K89" s="156">
        <v>1496.59</v>
      </c>
      <c r="L89" s="156">
        <v>0.64</v>
      </c>
    </row>
    <row r="90">
      <c r="A90" s="154" t="s">
        <v>295</v>
      </c>
      <c r="B90" s="155" t="s">
        <v>296</v>
      </c>
      <c r="C90" s="155" t="s">
        <v>304</v>
      </c>
      <c r="D90" s="156">
        <v>17.1</v>
      </c>
      <c r="E90" s="156">
        <v>17.1</v>
      </c>
      <c r="F90" s="156">
        <v>98.0</v>
      </c>
      <c r="G90" s="156">
        <v>1676.0</v>
      </c>
      <c r="H90" s="157">
        <v>1676.0</v>
      </c>
      <c r="I90" s="156">
        <v>1492.88</v>
      </c>
      <c r="J90" s="158">
        <v>815.25</v>
      </c>
      <c r="K90" s="156">
        <v>1179.46</v>
      </c>
      <c r="L90" s="156">
        <v>0.5</v>
      </c>
    </row>
    <row r="91">
      <c r="A91" s="154" t="s">
        <v>305</v>
      </c>
      <c r="B91" s="155" t="s">
        <v>296</v>
      </c>
      <c r="C91" s="155" t="s">
        <v>306</v>
      </c>
      <c r="D91" s="156">
        <v>21.22</v>
      </c>
      <c r="E91" s="156">
        <v>20.76</v>
      </c>
      <c r="F91" s="156">
        <v>94.833</v>
      </c>
      <c r="G91" s="156">
        <v>2012.83</v>
      </c>
      <c r="H91" s="157">
        <v>1968.83</v>
      </c>
      <c r="I91" s="156">
        <v>1422.73</v>
      </c>
      <c r="J91" s="158">
        <v>260.53</v>
      </c>
      <c r="K91" s="156">
        <v>1276.89</v>
      </c>
      <c r="L91" s="156">
        <v>0.59</v>
      </c>
    </row>
    <row r="92">
      <c r="A92" s="154" t="s">
        <v>300</v>
      </c>
      <c r="B92" s="155" t="s">
        <v>296</v>
      </c>
      <c r="C92" s="155" t="s">
        <v>307</v>
      </c>
      <c r="D92" s="156">
        <v>20.02</v>
      </c>
      <c r="E92" s="156">
        <v>20.02</v>
      </c>
      <c r="F92" s="156">
        <v>86.0</v>
      </c>
      <c r="G92" s="156">
        <v>1722.0</v>
      </c>
      <c r="H92" s="157">
        <v>1722.0</v>
      </c>
      <c r="I92" s="156">
        <v>1447.97</v>
      </c>
      <c r="J92" s="158">
        <v>528.4</v>
      </c>
      <c r="K92" s="156">
        <v>1125.99</v>
      </c>
      <c r="L92" s="156">
        <v>0.51</v>
      </c>
    </row>
    <row r="93">
      <c r="A93" s="154" t="s">
        <v>308</v>
      </c>
      <c r="B93" s="155" t="s">
        <v>296</v>
      </c>
      <c r="C93" s="155" t="s">
        <v>309</v>
      </c>
      <c r="D93" s="156">
        <v>24.66</v>
      </c>
      <c r="E93" s="156">
        <v>24.66</v>
      </c>
      <c r="F93" s="156">
        <v>67.0</v>
      </c>
      <c r="G93" s="156">
        <v>1652.0</v>
      </c>
      <c r="H93" s="157">
        <v>1652.0</v>
      </c>
      <c r="I93" s="156">
        <v>1356.02</v>
      </c>
      <c r="J93" s="158">
        <v>458.15</v>
      </c>
      <c r="K93" s="156">
        <v>1233.65</v>
      </c>
      <c r="L93" s="156">
        <v>0.49</v>
      </c>
    </row>
    <row r="94">
      <c r="A94" s="154" t="s">
        <v>295</v>
      </c>
      <c r="B94" s="155" t="s">
        <v>296</v>
      </c>
      <c r="C94" s="155" t="s">
        <v>310</v>
      </c>
      <c r="D94" s="156">
        <v>3.0</v>
      </c>
      <c r="E94" s="156">
        <v>2.95</v>
      </c>
      <c r="F94" s="156">
        <v>66.0</v>
      </c>
      <c r="G94" s="156">
        <v>198.0</v>
      </c>
      <c r="H94" s="159">
        <v>195.0</v>
      </c>
      <c r="I94" s="156">
        <v>-11.48</v>
      </c>
      <c r="J94" s="158">
        <v>-5.56</v>
      </c>
      <c r="K94" s="156">
        <v>-25.94</v>
      </c>
      <c r="L94" s="156">
        <v>0.06</v>
      </c>
    </row>
    <row r="95">
      <c r="A95" s="154" t="s">
        <v>295</v>
      </c>
      <c r="B95" s="155" t="s">
        <v>296</v>
      </c>
      <c r="C95" s="155" t="s">
        <v>311</v>
      </c>
      <c r="D95" s="156">
        <v>14.95</v>
      </c>
      <c r="E95" s="156">
        <v>14.95</v>
      </c>
      <c r="F95" s="156">
        <v>63.0</v>
      </c>
      <c r="G95" s="156">
        <v>942.0</v>
      </c>
      <c r="H95" s="160">
        <v>942.0</v>
      </c>
      <c r="I95" s="161">
        <v>875.75</v>
      </c>
      <c r="J95" s="158">
        <v>1321.89</v>
      </c>
      <c r="K95" s="156">
        <v>699.63</v>
      </c>
      <c r="L95" s="156">
        <v>0.28</v>
      </c>
    </row>
    <row r="96">
      <c r="A96" s="154" t="s">
        <v>295</v>
      </c>
      <c r="B96" s="155" t="s">
        <v>296</v>
      </c>
      <c r="C96" s="155" t="s">
        <v>312</v>
      </c>
      <c r="D96" s="156">
        <v>19.0</v>
      </c>
      <c r="E96" s="156">
        <v>19.0</v>
      </c>
      <c r="F96" s="156">
        <v>62.0</v>
      </c>
      <c r="G96" s="156">
        <v>1178.0</v>
      </c>
      <c r="H96" s="162">
        <v>1178.0</v>
      </c>
      <c r="I96" s="156">
        <v>954.85</v>
      </c>
      <c r="J96" s="158">
        <v>427.9</v>
      </c>
      <c r="K96" s="156">
        <v>734.55</v>
      </c>
      <c r="L96" s="156">
        <v>0.35</v>
      </c>
    </row>
    <row r="97">
      <c r="A97" s="154" t="s">
        <v>295</v>
      </c>
      <c r="B97" s="155" t="s">
        <v>296</v>
      </c>
      <c r="C97" s="155" t="s">
        <v>313</v>
      </c>
      <c r="D97" s="156">
        <v>11.7</v>
      </c>
      <c r="E97" s="156">
        <v>11.7</v>
      </c>
      <c r="F97" s="156">
        <v>60.0</v>
      </c>
      <c r="G97" s="156">
        <v>702.0</v>
      </c>
      <c r="H97" s="157">
        <v>702.0</v>
      </c>
      <c r="I97" s="156">
        <v>638.9</v>
      </c>
      <c r="J97" s="158">
        <v>1012.52</v>
      </c>
      <c r="K97" s="156">
        <v>507.66</v>
      </c>
      <c r="L97" s="156">
        <v>0.21</v>
      </c>
    </row>
    <row r="98">
      <c r="A98" s="154" t="s">
        <v>295</v>
      </c>
      <c r="B98" s="155" t="s">
        <v>296</v>
      </c>
      <c r="C98" s="155" t="s">
        <v>314</v>
      </c>
      <c r="D98" s="156">
        <v>19.0</v>
      </c>
      <c r="E98" s="156">
        <v>19.0</v>
      </c>
      <c r="F98" s="156">
        <v>53.0</v>
      </c>
      <c r="G98" s="156">
        <v>1007.0</v>
      </c>
      <c r="H98" s="157">
        <v>1007.0</v>
      </c>
      <c r="I98" s="156">
        <v>890.96</v>
      </c>
      <c r="J98" s="158">
        <v>767.8</v>
      </c>
      <c r="K98" s="156">
        <v>702.64</v>
      </c>
      <c r="L98" s="156">
        <v>0.3</v>
      </c>
    </row>
    <row r="99">
      <c r="A99" s="154" t="s">
        <v>315</v>
      </c>
      <c r="B99" s="155" t="s">
        <v>296</v>
      </c>
      <c r="C99" s="155" t="s">
        <v>316</v>
      </c>
      <c r="D99" s="156">
        <v>17.0</v>
      </c>
      <c r="E99" s="156">
        <v>17.0</v>
      </c>
      <c r="F99" s="156">
        <v>50.0</v>
      </c>
      <c r="G99" s="156">
        <v>850.0</v>
      </c>
      <c r="H99" s="157">
        <v>850.0</v>
      </c>
      <c r="I99" s="156">
        <v>638.4</v>
      </c>
      <c r="J99" s="158">
        <v>301.7</v>
      </c>
      <c r="K99" s="156">
        <v>479.44</v>
      </c>
      <c r="L99" s="156">
        <v>0.25</v>
      </c>
    </row>
    <row r="100">
      <c r="A100" s="154" t="s">
        <v>295</v>
      </c>
      <c r="B100" s="155" t="s">
        <v>296</v>
      </c>
      <c r="C100" s="155" t="s">
        <v>317</v>
      </c>
      <c r="D100" s="156">
        <v>0.0</v>
      </c>
      <c r="E100" s="156">
        <v>0.0</v>
      </c>
      <c r="F100" s="156">
        <v>50.0</v>
      </c>
      <c r="G100" s="156">
        <v>0.0</v>
      </c>
      <c r="H100" s="157">
        <v>0.0</v>
      </c>
      <c r="I100" s="156">
        <v>0.0</v>
      </c>
      <c r="J100" s="158">
        <v>0.0</v>
      </c>
      <c r="K100" s="156">
        <v>0.0</v>
      </c>
      <c r="L100" s="156">
        <v>0.0</v>
      </c>
    </row>
    <row r="101">
      <c r="A101" s="154" t="s">
        <v>308</v>
      </c>
      <c r="B101" s="155" t="s">
        <v>296</v>
      </c>
      <c r="C101" s="155" t="s">
        <v>318</v>
      </c>
      <c r="D101" s="156">
        <v>18.0</v>
      </c>
      <c r="E101" s="156">
        <v>18.0</v>
      </c>
      <c r="F101" s="156">
        <v>48.0</v>
      </c>
      <c r="G101" s="156">
        <v>864.0</v>
      </c>
      <c r="H101" s="157">
        <v>864.0</v>
      </c>
      <c r="I101" s="156">
        <v>822.01</v>
      </c>
      <c r="J101" s="158">
        <v>1957.63</v>
      </c>
      <c r="K101" s="156">
        <v>660.46</v>
      </c>
      <c r="L101" s="156">
        <v>0.26</v>
      </c>
    </row>
    <row r="102">
      <c r="A102" s="154" t="s">
        <v>295</v>
      </c>
      <c r="B102" s="155" t="s">
        <v>296</v>
      </c>
      <c r="C102" s="155" t="s">
        <v>319</v>
      </c>
      <c r="D102" s="156">
        <v>3.0</v>
      </c>
      <c r="E102" s="156">
        <v>2.93</v>
      </c>
      <c r="F102" s="156">
        <v>42.0</v>
      </c>
      <c r="G102" s="156">
        <v>126.0</v>
      </c>
      <c r="H102" s="157">
        <v>123.0</v>
      </c>
      <c r="I102" s="156">
        <v>-8.39</v>
      </c>
      <c r="J102" s="158">
        <v>-6.39</v>
      </c>
      <c r="K102" s="156">
        <v>-17.47</v>
      </c>
      <c r="L102" s="156">
        <v>0.04</v>
      </c>
    </row>
    <row r="103">
      <c r="A103" s="154" t="s">
        <v>320</v>
      </c>
      <c r="B103" s="155" t="s">
        <v>296</v>
      </c>
      <c r="C103" s="155" t="s">
        <v>321</v>
      </c>
      <c r="D103" s="156">
        <v>17.0</v>
      </c>
      <c r="E103" s="156">
        <v>16.58</v>
      </c>
      <c r="F103" s="156">
        <v>40.0</v>
      </c>
      <c r="G103" s="156">
        <v>680.0</v>
      </c>
      <c r="H103" s="157">
        <v>663.0</v>
      </c>
      <c r="I103" s="156">
        <v>484.86</v>
      </c>
      <c r="J103" s="158">
        <v>272.18</v>
      </c>
      <c r="K103" s="156">
        <v>360.85</v>
      </c>
      <c r="L103" s="156">
        <v>0.2</v>
      </c>
    </row>
    <row r="104">
      <c r="A104" s="154" t="s">
        <v>295</v>
      </c>
      <c r="B104" s="155" t="s">
        <v>296</v>
      </c>
      <c r="C104" s="155" t="s">
        <v>322</v>
      </c>
      <c r="D104" s="156">
        <v>21.0</v>
      </c>
      <c r="E104" s="156">
        <v>21.0</v>
      </c>
      <c r="F104" s="156">
        <v>35.0</v>
      </c>
      <c r="G104" s="156">
        <v>735.0</v>
      </c>
      <c r="H104" s="157">
        <v>735.0</v>
      </c>
      <c r="I104" s="156">
        <v>609.36</v>
      </c>
      <c r="J104" s="158">
        <v>485.0</v>
      </c>
      <c r="K104" s="156">
        <v>471.91</v>
      </c>
      <c r="L104" s="156">
        <v>0.22</v>
      </c>
    </row>
    <row r="105">
      <c r="A105" s="154" t="s">
        <v>315</v>
      </c>
      <c r="B105" s="155" t="s">
        <v>296</v>
      </c>
      <c r="C105" s="155" t="s">
        <v>323</v>
      </c>
      <c r="D105" s="156">
        <v>14.36</v>
      </c>
      <c r="E105" s="156">
        <v>14.36</v>
      </c>
      <c r="F105" s="156">
        <v>33.0</v>
      </c>
      <c r="G105" s="156">
        <v>474.0</v>
      </c>
      <c r="H105" s="157">
        <v>474.0</v>
      </c>
      <c r="I105" s="156">
        <v>414.21</v>
      </c>
      <c r="J105" s="158">
        <v>692.77</v>
      </c>
      <c r="K105" s="156">
        <v>379.1</v>
      </c>
      <c r="L105" s="156">
        <v>0.14</v>
      </c>
    </row>
    <row r="106">
      <c r="A106" s="154" t="s">
        <v>308</v>
      </c>
      <c r="B106" s="155" t="s">
        <v>296</v>
      </c>
      <c r="C106" s="155" t="s">
        <v>324</v>
      </c>
      <c r="D106" s="156">
        <v>17.82</v>
      </c>
      <c r="E106" s="156">
        <v>17.82</v>
      </c>
      <c r="F106" s="156">
        <v>33.0</v>
      </c>
      <c r="G106" s="156">
        <v>588.0</v>
      </c>
      <c r="H106" s="157">
        <v>588.0</v>
      </c>
      <c r="I106" s="156">
        <v>539.83</v>
      </c>
      <c r="J106" s="158">
        <v>1120.68</v>
      </c>
      <c r="K106" s="156">
        <v>429.9</v>
      </c>
      <c r="L106" s="156">
        <v>0.18</v>
      </c>
    </row>
    <row r="107">
      <c r="A107" s="154" t="s">
        <v>300</v>
      </c>
      <c r="B107" s="155" t="s">
        <v>296</v>
      </c>
      <c r="C107" s="155" t="s">
        <v>325</v>
      </c>
      <c r="D107" s="156">
        <v>17.0</v>
      </c>
      <c r="E107" s="156">
        <v>17.0</v>
      </c>
      <c r="F107" s="156">
        <v>32.0</v>
      </c>
      <c r="G107" s="156">
        <v>544.0</v>
      </c>
      <c r="H107" s="157">
        <v>544.0</v>
      </c>
      <c r="I107" s="156">
        <v>423.31</v>
      </c>
      <c r="J107" s="158">
        <v>350.74</v>
      </c>
      <c r="K107" s="156">
        <v>321.55</v>
      </c>
      <c r="L107" s="156">
        <v>0.16</v>
      </c>
    </row>
    <row r="108">
      <c r="A108" s="154" t="s">
        <v>305</v>
      </c>
      <c r="B108" s="155" t="s">
        <v>296</v>
      </c>
      <c r="C108" s="155" t="s">
        <v>326</v>
      </c>
      <c r="D108" s="156">
        <v>21.14</v>
      </c>
      <c r="E108" s="156">
        <v>21.14</v>
      </c>
      <c r="F108" s="156">
        <v>31.333</v>
      </c>
      <c r="G108" s="156">
        <v>662.33</v>
      </c>
      <c r="H108" s="157">
        <v>662.33</v>
      </c>
      <c r="I108" s="156">
        <v>490.0</v>
      </c>
      <c r="J108" s="158">
        <v>284.34</v>
      </c>
      <c r="K108" s="156">
        <v>440.95</v>
      </c>
      <c r="L108" s="156">
        <v>0.2</v>
      </c>
    </row>
    <row r="109">
      <c r="A109" s="154" t="s">
        <v>308</v>
      </c>
      <c r="B109" s="155" t="s">
        <v>296</v>
      </c>
      <c r="C109" s="155" t="s">
        <v>327</v>
      </c>
      <c r="D109" s="156">
        <v>25.03</v>
      </c>
      <c r="E109" s="156">
        <v>25.03</v>
      </c>
      <c r="F109" s="156">
        <v>31.0</v>
      </c>
      <c r="G109" s="156">
        <v>776.0</v>
      </c>
      <c r="H109" s="157">
        <v>776.0</v>
      </c>
      <c r="I109" s="156">
        <v>655.6</v>
      </c>
      <c r="J109" s="158">
        <v>544.52</v>
      </c>
      <c r="K109" s="156">
        <v>598.08</v>
      </c>
      <c r="L109" s="156">
        <v>0.23</v>
      </c>
    </row>
    <row r="110">
      <c r="A110" s="154" t="s">
        <v>295</v>
      </c>
      <c r="B110" s="155" t="s">
        <v>296</v>
      </c>
      <c r="C110" s="155" t="s">
        <v>328</v>
      </c>
      <c r="D110" s="156">
        <v>3.0</v>
      </c>
      <c r="E110" s="156">
        <v>3.0</v>
      </c>
      <c r="F110" s="156">
        <v>30.0</v>
      </c>
      <c r="G110" s="156">
        <v>90.0</v>
      </c>
      <c r="H110" s="157">
        <v>90.0</v>
      </c>
      <c r="I110" s="156">
        <v>83.18</v>
      </c>
      <c r="J110" s="158">
        <v>1219.65</v>
      </c>
      <c r="K110" s="156">
        <v>76.54</v>
      </c>
      <c r="L110" s="156">
        <v>0.03</v>
      </c>
    </row>
    <row r="111">
      <c r="A111" s="154" t="s">
        <v>295</v>
      </c>
      <c r="B111" s="155" t="s">
        <v>296</v>
      </c>
      <c r="C111" s="155" t="s">
        <v>329</v>
      </c>
      <c r="D111" s="156">
        <v>19.5</v>
      </c>
      <c r="E111" s="156">
        <v>18.75</v>
      </c>
      <c r="F111" s="156">
        <v>28.0</v>
      </c>
      <c r="G111" s="156">
        <v>546.0</v>
      </c>
      <c r="H111" s="157">
        <v>525.0</v>
      </c>
      <c r="I111" s="156">
        <v>445.35</v>
      </c>
      <c r="J111" s="158">
        <v>559.13</v>
      </c>
      <c r="K111" s="156">
        <v>347.15</v>
      </c>
      <c r="L111" s="156">
        <v>0.16</v>
      </c>
    </row>
    <row r="112">
      <c r="A112" s="154" t="s">
        <v>315</v>
      </c>
      <c r="B112" s="155" t="s">
        <v>296</v>
      </c>
      <c r="C112" s="155" t="s">
        <v>330</v>
      </c>
      <c r="D112" s="156">
        <v>17.0</v>
      </c>
      <c r="E112" s="156">
        <v>17.0</v>
      </c>
      <c r="F112" s="156">
        <v>26.0</v>
      </c>
      <c r="G112" s="156">
        <v>442.0</v>
      </c>
      <c r="H112" s="157">
        <v>442.0</v>
      </c>
      <c r="I112" s="156">
        <v>350.34</v>
      </c>
      <c r="J112" s="158">
        <v>382.22</v>
      </c>
      <c r="K112" s="156">
        <v>267.66</v>
      </c>
      <c r="L112" s="156">
        <v>0.13</v>
      </c>
    </row>
    <row r="113">
      <c r="A113" s="154" t="s">
        <v>300</v>
      </c>
      <c r="B113" s="155" t="s">
        <v>296</v>
      </c>
      <c r="C113" s="155" t="s">
        <v>331</v>
      </c>
      <c r="D113" s="156">
        <v>45.0</v>
      </c>
      <c r="E113" s="156">
        <v>45.0</v>
      </c>
      <c r="F113" s="156">
        <v>25.0</v>
      </c>
      <c r="G113" s="156">
        <v>1125.0</v>
      </c>
      <c r="H113" s="157">
        <v>1125.0</v>
      </c>
      <c r="I113" s="156">
        <v>702.36</v>
      </c>
      <c r="J113" s="158">
        <v>166.18</v>
      </c>
      <c r="K113" s="156">
        <v>492.02</v>
      </c>
      <c r="L113" s="156">
        <v>0.34</v>
      </c>
    </row>
    <row r="114">
      <c r="A114" s="154" t="s">
        <v>305</v>
      </c>
      <c r="B114" s="155" t="s">
        <v>296</v>
      </c>
      <c r="C114" s="155" t="s">
        <v>332</v>
      </c>
      <c r="D114" s="156">
        <v>20.45</v>
      </c>
      <c r="E114" s="156">
        <v>20.45</v>
      </c>
      <c r="F114" s="156">
        <v>24.166</v>
      </c>
      <c r="G114" s="156">
        <v>494.16</v>
      </c>
      <c r="H114" s="157">
        <v>494.16</v>
      </c>
      <c r="I114" s="156">
        <v>436.04</v>
      </c>
      <c r="J114" s="158">
        <v>750.24</v>
      </c>
      <c r="K114" s="156">
        <v>399.47</v>
      </c>
      <c r="L114" s="156">
        <v>0.15</v>
      </c>
    </row>
    <row r="115">
      <c r="A115" s="154" t="s">
        <v>305</v>
      </c>
      <c r="B115" s="155" t="s">
        <v>296</v>
      </c>
      <c r="C115" s="155" t="s">
        <v>333</v>
      </c>
      <c r="D115" s="156">
        <v>20.6</v>
      </c>
      <c r="E115" s="156">
        <v>20.6</v>
      </c>
      <c r="F115" s="156">
        <v>23.5</v>
      </c>
      <c r="G115" s="156">
        <v>484.0</v>
      </c>
      <c r="H115" s="157">
        <v>484.0</v>
      </c>
      <c r="I115" s="156">
        <v>484.0</v>
      </c>
      <c r="J115" s="158">
        <v>0.0</v>
      </c>
      <c r="K115" s="156">
        <v>448.16</v>
      </c>
      <c r="L115" s="156">
        <v>0.14</v>
      </c>
    </row>
    <row r="116">
      <c r="A116" s="154" t="s">
        <v>295</v>
      </c>
      <c r="B116" s="155" t="s">
        <v>296</v>
      </c>
      <c r="C116" s="155" t="s">
        <v>334</v>
      </c>
      <c r="D116" s="156">
        <v>16.0</v>
      </c>
      <c r="E116" s="156">
        <v>16.0</v>
      </c>
      <c r="F116" s="156">
        <v>23.0</v>
      </c>
      <c r="G116" s="156">
        <v>368.0</v>
      </c>
      <c r="H116" s="157">
        <v>368.0</v>
      </c>
      <c r="I116" s="156">
        <v>349.2</v>
      </c>
      <c r="J116" s="158">
        <v>1857.45</v>
      </c>
      <c r="K116" s="156">
        <v>280.4</v>
      </c>
      <c r="L116" s="156">
        <v>0.11</v>
      </c>
    </row>
    <row r="117">
      <c r="A117" s="154" t="s">
        <v>308</v>
      </c>
      <c r="B117" s="155" t="s">
        <v>296</v>
      </c>
      <c r="C117" s="155" t="s">
        <v>335</v>
      </c>
      <c r="D117" s="156">
        <v>17.7</v>
      </c>
      <c r="E117" s="156">
        <v>17.7</v>
      </c>
      <c r="F117" s="156">
        <v>23.0</v>
      </c>
      <c r="G117" s="156">
        <v>407.0</v>
      </c>
      <c r="H117" s="157">
        <v>407.0</v>
      </c>
      <c r="I117" s="156">
        <v>393.62</v>
      </c>
      <c r="J117" s="158">
        <v>2941.85</v>
      </c>
      <c r="K117" s="156">
        <v>317.53</v>
      </c>
      <c r="L117" s="156">
        <v>0.12</v>
      </c>
    </row>
    <row r="118">
      <c r="A118" s="154" t="s">
        <v>295</v>
      </c>
      <c r="B118" s="155" t="s">
        <v>296</v>
      </c>
      <c r="C118" s="155" t="s">
        <v>336</v>
      </c>
      <c r="D118" s="156">
        <v>20.36</v>
      </c>
      <c r="E118" s="156">
        <v>15.59</v>
      </c>
      <c r="F118" s="156">
        <v>22.0</v>
      </c>
      <c r="G118" s="156">
        <v>448.0</v>
      </c>
      <c r="H118" s="157">
        <v>343.0</v>
      </c>
      <c r="I118" s="156">
        <v>223.84</v>
      </c>
      <c r="J118" s="158">
        <v>187.85</v>
      </c>
      <c r="K118" s="156">
        <v>159.7</v>
      </c>
      <c r="L118" s="156">
        <v>0.1</v>
      </c>
    </row>
    <row r="119">
      <c r="A119" s="154" t="s">
        <v>305</v>
      </c>
      <c r="B119" s="155" t="s">
        <v>296</v>
      </c>
      <c r="C119" s="155" t="s">
        <v>337</v>
      </c>
      <c r="D119" s="156">
        <v>20.77</v>
      </c>
      <c r="E119" s="156">
        <v>20.77</v>
      </c>
      <c r="F119" s="156">
        <v>22.0</v>
      </c>
      <c r="G119" s="156">
        <v>457.0</v>
      </c>
      <c r="H119" s="157">
        <v>457.0</v>
      </c>
      <c r="I119" s="156">
        <v>307.63</v>
      </c>
      <c r="J119" s="158">
        <v>205.95</v>
      </c>
      <c r="K119" s="156">
        <v>273.78</v>
      </c>
      <c r="L119" s="156">
        <v>0.14</v>
      </c>
    </row>
    <row r="120">
      <c r="A120" s="154" t="s">
        <v>308</v>
      </c>
      <c r="B120" s="155" t="s">
        <v>296</v>
      </c>
      <c r="C120" s="155" t="s">
        <v>338</v>
      </c>
      <c r="D120" s="156">
        <v>17.71</v>
      </c>
      <c r="E120" s="156">
        <v>17.71</v>
      </c>
      <c r="F120" s="156">
        <v>21.0</v>
      </c>
      <c r="G120" s="156">
        <v>372.0</v>
      </c>
      <c r="H120" s="157">
        <v>372.0</v>
      </c>
      <c r="I120" s="156">
        <v>358.41</v>
      </c>
      <c r="J120" s="158">
        <v>2637.31</v>
      </c>
      <c r="K120" s="156">
        <v>288.88</v>
      </c>
      <c r="L120" s="156">
        <v>0.11</v>
      </c>
    </row>
    <row r="121">
      <c r="A121" s="154" t="s">
        <v>295</v>
      </c>
      <c r="B121" s="155" t="s">
        <v>296</v>
      </c>
      <c r="C121" s="155" t="s">
        <v>339</v>
      </c>
      <c r="D121" s="156">
        <v>2.0</v>
      </c>
      <c r="E121" s="156">
        <v>2.0</v>
      </c>
      <c r="F121" s="156">
        <v>20.0</v>
      </c>
      <c r="G121" s="156">
        <v>40.0</v>
      </c>
      <c r="H121" s="157">
        <v>40.0</v>
      </c>
      <c r="I121" s="156">
        <v>32.77</v>
      </c>
      <c r="J121" s="158">
        <v>453.25</v>
      </c>
      <c r="K121" s="156">
        <v>29.79</v>
      </c>
      <c r="L121" s="156">
        <v>0.01</v>
      </c>
    </row>
    <row r="122">
      <c r="A122" s="154" t="s">
        <v>300</v>
      </c>
      <c r="B122" s="155" t="s">
        <v>296</v>
      </c>
      <c r="C122" s="155" t="s">
        <v>340</v>
      </c>
      <c r="D122" s="156">
        <v>45.0</v>
      </c>
      <c r="E122" s="156">
        <v>45.0</v>
      </c>
      <c r="F122" s="156">
        <v>16.0</v>
      </c>
      <c r="G122" s="156">
        <v>720.0</v>
      </c>
      <c r="H122" s="157">
        <v>720.0</v>
      </c>
      <c r="I122" s="156">
        <v>659.99</v>
      </c>
      <c r="J122" s="158">
        <v>1099.8</v>
      </c>
      <c r="K122" s="156">
        <v>525.36</v>
      </c>
      <c r="L122" s="156">
        <v>0.21</v>
      </c>
    </row>
    <row r="123">
      <c r="A123" s="154" t="s">
        <v>217</v>
      </c>
      <c r="B123" s="155" t="s">
        <v>296</v>
      </c>
      <c r="C123" s="155" t="s">
        <v>341</v>
      </c>
      <c r="D123" s="156">
        <v>25.0</v>
      </c>
      <c r="E123" s="156">
        <v>25.0</v>
      </c>
      <c r="F123" s="156">
        <v>13.0</v>
      </c>
      <c r="G123" s="156">
        <v>325.0</v>
      </c>
      <c r="H123" s="157">
        <v>325.0</v>
      </c>
      <c r="I123" s="156">
        <v>254.51</v>
      </c>
      <c r="J123" s="158">
        <v>361.06</v>
      </c>
      <c r="K123" s="156">
        <v>193.79</v>
      </c>
      <c r="L123" s="156">
        <v>0.1</v>
      </c>
    </row>
    <row r="124">
      <c r="A124" s="154" t="s">
        <v>305</v>
      </c>
      <c r="B124" s="155" t="s">
        <v>296</v>
      </c>
      <c r="C124" s="155" t="s">
        <v>342</v>
      </c>
      <c r="D124" s="156">
        <v>14.08</v>
      </c>
      <c r="E124" s="156">
        <v>14.08</v>
      </c>
      <c r="F124" s="156">
        <v>13.0</v>
      </c>
      <c r="G124" s="156">
        <v>183.0</v>
      </c>
      <c r="H124" s="157">
        <v>183.0</v>
      </c>
      <c r="I124" s="156">
        <v>168.59</v>
      </c>
      <c r="J124" s="158">
        <v>1169.95</v>
      </c>
      <c r="K124" s="156">
        <v>155.04</v>
      </c>
      <c r="L124" s="156">
        <v>0.05</v>
      </c>
    </row>
    <row r="125">
      <c r="A125" s="154" t="s">
        <v>300</v>
      </c>
      <c r="B125" s="155" t="s">
        <v>296</v>
      </c>
      <c r="C125" s="155" t="s">
        <v>343</v>
      </c>
      <c r="D125" s="156">
        <v>45.0</v>
      </c>
      <c r="E125" s="156">
        <v>45.0</v>
      </c>
      <c r="F125" s="156">
        <v>12.0</v>
      </c>
      <c r="G125" s="156">
        <v>540.0</v>
      </c>
      <c r="H125" s="157">
        <v>540.0</v>
      </c>
      <c r="I125" s="156">
        <v>416.89</v>
      </c>
      <c r="J125" s="158">
        <v>338.63</v>
      </c>
      <c r="K125" s="156">
        <v>315.93</v>
      </c>
      <c r="L125" s="156">
        <v>0.16</v>
      </c>
    </row>
    <row r="126">
      <c r="A126" s="154" t="s">
        <v>295</v>
      </c>
      <c r="B126" s="155" t="s">
        <v>296</v>
      </c>
      <c r="C126" s="155" t="s">
        <v>344</v>
      </c>
      <c r="D126" s="156">
        <v>20.27</v>
      </c>
      <c r="E126" s="156">
        <v>20.27</v>
      </c>
      <c r="F126" s="156">
        <v>11.0</v>
      </c>
      <c r="G126" s="156">
        <v>223.0</v>
      </c>
      <c r="H126" s="157">
        <v>223.0</v>
      </c>
      <c r="I126" s="156">
        <v>163.93</v>
      </c>
      <c r="J126" s="158">
        <v>277.52</v>
      </c>
      <c r="K126" s="156">
        <v>122.23</v>
      </c>
      <c r="L126" s="156">
        <v>0.07</v>
      </c>
    </row>
    <row r="127">
      <c r="A127" s="154"/>
      <c r="B127" s="155" t="s">
        <v>296</v>
      </c>
      <c r="C127" s="155" t="s">
        <v>345</v>
      </c>
      <c r="D127" s="156">
        <v>5.0</v>
      </c>
      <c r="E127" s="156">
        <v>5.0</v>
      </c>
      <c r="F127" s="156">
        <v>9.0</v>
      </c>
      <c r="G127" s="156">
        <v>45.0</v>
      </c>
      <c r="H127" s="157">
        <v>45.0</v>
      </c>
      <c r="I127" s="156">
        <v>40.39</v>
      </c>
      <c r="J127" s="158">
        <v>876.14</v>
      </c>
      <c r="K127" s="156">
        <v>37.06</v>
      </c>
      <c r="L127" s="156">
        <v>0.01</v>
      </c>
    </row>
    <row r="128">
      <c r="A128" s="154" t="s">
        <v>295</v>
      </c>
      <c r="B128" s="155" t="s">
        <v>296</v>
      </c>
      <c r="C128" s="155" t="s">
        <v>346</v>
      </c>
      <c r="D128" s="156">
        <v>20.33</v>
      </c>
      <c r="E128" s="156">
        <v>20.33</v>
      </c>
      <c r="F128" s="156">
        <v>9.0</v>
      </c>
      <c r="G128" s="156">
        <v>183.0</v>
      </c>
      <c r="H128" s="157">
        <v>183.0</v>
      </c>
      <c r="I128" s="156">
        <v>145.84</v>
      </c>
      <c r="J128" s="158">
        <v>392.47</v>
      </c>
      <c r="K128" s="156">
        <v>111.62</v>
      </c>
      <c r="L128" s="156">
        <v>0.05</v>
      </c>
    </row>
    <row r="129">
      <c r="A129" s="154" t="s">
        <v>305</v>
      </c>
      <c r="B129" s="155" t="s">
        <v>296</v>
      </c>
      <c r="C129" s="155" t="s">
        <v>347</v>
      </c>
      <c r="D129" s="156">
        <v>21.14</v>
      </c>
      <c r="E129" s="156">
        <v>21.14</v>
      </c>
      <c r="F129" s="156">
        <v>8.666</v>
      </c>
      <c r="G129" s="156">
        <v>183.16</v>
      </c>
      <c r="H129" s="157">
        <v>183.16</v>
      </c>
      <c r="I129" s="156">
        <v>183.16</v>
      </c>
      <c r="J129" s="158">
        <v>0.0</v>
      </c>
      <c r="K129" s="156">
        <v>169.6</v>
      </c>
      <c r="L129" s="156">
        <v>0.05</v>
      </c>
    </row>
    <row r="130">
      <c r="A130" s="154" t="s">
        <v>305</v>
      </c>
      <c r="B130" s="155" t="s">
        <v>296</v>
      </c>
      <c r="C130" s="155" t="s">
        <v>348</v>
      </c>
      <c r="D130" s="156">
        <v>15.63</v>
      </c>
      <c r="E130" s="156">
        <v>15.63</v>
      </c>
      <c r="F130" s="156">
        <v>8.0</v>
      </c>
      <c r="G130" s="156">
        <v>125.0</v>
      </c>
      <c r="H130" s="157">
        <v>125.0</v>
      </c>
      <c r="I130" s="156">
        <v>80.9</v>
      </c>
      <c r="J130" s="158">
        <v>183.45</v>
      </c>
      <c r="K130" s="156">
        <v>71.63</v>
      </c>
      <c r="L130" s="156">
        <v>0.04</v>
      </c>
    </row>
    <row r="131">
      <c r="A131" s="154" t="s">
        <v>308</v>
      </c>
      <c r="B131" s="155" t="s">
        <v>296</v>
      </c>
      <c r="C131" s="155" t="s">
        <v>349</v>
      </c>
      <c r="D131" s="156">
        <v>18.57</v>
      </c>
      <c r="E131" s="156">
        <v>18.57</v>
      </c>
      <c r="F131" s="156">
        <v>7.0</v>
      </c>
      <c r="G131" s="156">
        <v>130.0</v>
      </c>
      <c r="H131" s="157">
        <v>130.0</v>
      </c>
      <c r="I131" s="156">
        <v>125.7</v>
      </c>
      <c r="J131" s="158">
        <v>2923.26</v>
      </c>
      <c r="K131" s="156">
        <v>101.4</v>
      </c>
      <c r="L131" s="156">
        <v>0.04</v>
      </c>
    </row>
    <row r="132">
      <c r="A132" s="154" t="s">
        <v>315</v>
      </c>
      <c r="B132" s="155" t="s">
        <v>296</v>
      </c>
      <c r="C132" s="155" t="s">
        <v>350</v>
      </c>
      <c r="D132" s="156">
        <v>15.0</v>
      </c>
      <c r="E132" s="156">
        <v>15.0</v>
      </c>
      <c r="F132" s="156">
        <v>7.0</v>
      </c>
      <c r="G132" s="156">
        <v>105.0</v>
      </c>
      <c r="H132" s="157">
        <v>105.0</v>
      </c>
      <c r="I132" s="156">
        <v>105.0</v>
      </c>
      <c r="J132" s="158">
        <v>0.0</v>
      </c>
      <c r="K132" s="156">
        <v>85.39</v>
      </c>
      <c r="L132" s="156">
        <v>0.03</v>
      </c>
    </row>
    <row r="133">
      <c r="A133" s="154" t="s">
        <v>295</v>
      </c>
      <c r="B133" s="155" t="s">
        <v>296</v>
      </c>
      <c r="C133" s="155" t="s">
        <v>351</v>
      </c>
      <c r="D133" s="156">
        <v>3.0</v>
      </c>
      <c r="E133" s="156">
        <v>3.0</v>
      </c>
      <c r="F133" s="156">
        <v>4.0</v>
      </c>
      <c r="G133" s="156">
        <v>12.0</v>
      </c>
      <c r="H133" s="157">
        <v>12.0</v>
      </c>
      <c r="I133" s="156">
        <v>12.0</v>
      </c>
      <c r="J133" s="158">
        <v>0.0</v>
      </c>
      <c r="K133" s="156">
        <v>11.12</v>
      </c>
      <c r="L133" s="156">
        <v>0.0</v>
      </c>
    </row>
    <row r="134">
      <c r="A134" s="154"/>
      <c r="B134" s="155" t="s">
        <v>296</v>
      </c>
      <c r="C134" s="155" t="s">
        <v>352</v>
      </c>
      <c r="D134" s="156">
        <v>16.0</v>
      </c>
      <c r="E134" s="156">
        <v>16.0</v>
      </c>
      <c r="F134" s="156">
        <v>3.0</v>
      </c>
      <c r="G134" s="156">
        <v>48.0</v>
      </c>
      <c r="H134" s="157">
        <v>48.0</v>
      </c>
      <c r="I134" s="156">
        <v>44.84</v>
      </c>
      <c r="J134" s="158">
        <v>1418.99</v>
      </c>
      <c r="K134" s="156">
        <v>35.87</v>
      </c>
      <c r="L134" s="156">
        <v>0.01</v>
      </c>
    </row>
    <row r="135">
      <c r="A135" s="154" t="s">
        <v>305</v>
      </c>
      <c r="B135" s="155" t="s">
        <v>296</v>
      </c>
      <c r="C135" s="155" t="s">
        <v>353</v>
      </c>
      <c r="D135" s="156">
        <v>20.0</v>
      </c>
      <c r="E135" s="156">
        <v>20.0</v>
      </c>
      <c r="F135" s="156">
        <v>1.0</v>
      </c>
      <c r="G135" s="156">
        <v>20.0</v>
      </c>
      <c r="H135" s="157">
        <v>20.0</v>
      </c>
      <c r="I135" s="156">
        <v>12.6</v>
      </c>
      <c r="J135" s="158">
        <v>170.27</v>
      </c>
      <c r="K135" s="156">
        <v>11.12</v>
      </c>
      <c r="L135" s="156">
        <v>0.01</v>
      </c>
    </row>
    <row r="136">
      <c r="A136" s="154"/>
      <c r="B136" s="155" t="s">
        <v>354</v>
      </c>
      <c r="C136" s="155" t="s">
        <v>355</v>
      </c>
      <c r="D136" s="156">
        <v>48.0</v>
      </c>
      <c r="E136" s="156">
        <v>46.85</v>
      </c>
      <c r="F136" s="156">
        <v>391.0</v>
      </c>
      <c r="G136" s="156">
        <v>18768.0</v>
      </c>
      <c r="H136" s="157">
        <v>18319.2</v>
      </c>
      <c r="I136" s="156">
        <v>13617.5</v>
      </c>
      <c r="J136" s="158">
        <v>289.63</v>
      </c>
      <c r="K136" s="156">
        <v>12260.56</v>
      </c>
      <c r="L136" s="156">
        <v>5.46</v>
      </c>
    </row>
    <row r="137">
      <c r="A137" s="154"/>
      <c r="B137" s="155" t="s">
        <v>354</v>
      </c>
      <c r="C137" s="155" t="s">
        <v>356</v>
      </c>
      <c r="D137" s="156">
        <v>58.0</v>
      </c>
      <c r="E137" s="156">
        <v>55.76</v>
      </c>
      <c r="F137" s="156">
        <v>364.0</v>
      </c>
      <c r="G137" s="156">
        <v>21112.0</v>
      </c>
      <c r="H137" s="157">
        <v>20297.1</v>
      </c>
      <c r="I137" s="156">
        <v>17647.91</v>
      </c>
      <c r="J137" s="158">
        <v>666.16</v>
      </c>
      <c r="K137" s="156">
        <v>16144.42</v>
      </c>
      <c r="L137" s="156">
        <v>6.05</v>
      </c>
    </row>
    <row r="138">
      <c r="A138" s="154"/>
      <c r="B138" s="155" t="s">
        <v>354</v>
      </c>
      <c r="C138" s="155" t="s">
        <v>357</v>
      </c>
      <c r="D138" s="156">
        <v>64.0</v>
      </c>
      <c r="E138" s="156">
        <v>62.35</v>
      </c>
      <c r="F138" s="156">
        <v>300.0</v>
      </c>
      <c r="G138" s="156">
        <v>19200.0</v>
      </c>
      <c r="H138" s="157">
        <v>18704.0</v>
      </c>
      <c r="I138" s="156">
        <v>14547.61</v>
      </c>
      <c r="J138" s="158">
        <v>350.01</v>
      </c>
      <c r="K138" s="156">
        <v>13162.14</v>
      </c>
      <c r="L138" s="156">
        <v>5.58</v>
      </c>
    </row>
    <row r="139">
      <c r="A139" s="154"/>
      <c r="B139" s="155" t="s">
        <v>354</v>
      </c>
      <c r="C139" s="155" t="s">
        <v>358</v>
      </c>
      <c r="D139" s="156">
        <v>32.0</v>
      </c>
      <c r="E139" s="156">
        <v>30.71</v>
      </c>
      <c r="F139" s="156">
        <v>293.0</v>
      </c>
      <c r="G139" s="156">
        <v>9376.0</v>
      </c>
      <c r="H139" s="157">
        <v>8996.8</v>
      </c>
      <c r="I139" s="156">
        <v>7198.21</v>
      </c>
      <c r="J139" s="158">
        <v>400.21</v>
      </c>
      <c r="K139" s="156">
        <v>6531.76</v>
      </c>
      <c r="L139" s="156">
        <v>2.68</v>
      </c>
    </row>
    <row r="140">
      <c r="A140" s="154"/>
      <c r="B140" s="155" t="s">
        <v>354</v>
      </c>
      <c r="C140" s="155" t="s">
        <v>359</v>
      </c>
      <c r="D140" s="156">
        <v>62.0</v>
      </c>
      <c r="E140" s="156">
        <v>59.49</v>
      </c>
      <c r="F140" s="156">
        <v>247.0</v>
      </c>
      <c r="G140" s="156">
        <v>15314.0</v>
      </c>
      <c r="H140" s="157">
        <v>14694.0</v>
      </c>
      <c r="I140" s="156">
        <v>11746.16</v>
      </c>
      <c r="J140" s="158">
        <v>398.47</v>
      </c>
      <c r="K140" s="156">
        <v>10657.72</v>
      </c>
      <c r="L140" s="156">
        <v>4.38</v>
      </c>
    </row>
    <row r="141">
      <c r="A141" s="154"/>
      <c r="B141" s="155" t="s">
        <v>354</v>
      </c>
      <c r="C141" s="155" t="s">
        <v>360</v>
      </c>
      <c r="D141" s="156">
        <v>36.0</v>
      </c>
      <c r="E141" s="156">
        <v>34.73</v>
      </c>
      <c r="F141" s="156">
        <v>223.0</v>
      </c>
      <c r="G141" s="156">
        <v>8028.0</v>
      </c>
      <c r="H141" s="157">
        <v>7745.4</v>
      </c>
      <c r="I141" s="156">
        <v>5747.07</v>
      </c>
      <c r="J141" s="158">
        <v>287.59</v>
      </c>
      <c r="K141" s="156">
        <v>5173.34</v>
      </c>
      <c r="L141" s="156">
        <v>2.31</v>
      </c>
    </row>
    <row r="142">
      <c r="A142" s="154"/>
      <c r="B142" s="155" t="s">
        <v>354</v>
      </c>
      <c r="C142" s="155" t="s">
        <v>361</v>
      </c>
      <c r="D142" s="156">
        <v>86.0</v>
      </c>
      <c r="E142" s="156">
        <v>80.38</v>
      </c>
      <c r="F142" s="156">
        <v>209.0</v>
      </c>
      <c r="G142" s="156">
        <v>17974.0</v>
      </c>
      <c r="H142" s="157">
        <v>16800.1</v>
      </c>
      <c r="I142" s="156">
        <v>12113.8</v>
      </c>
      <c r="J142" s="158">
        <v>258.49</v>
      </c>
      <c r="K142" s="156">
        <v>10869.34</v>
      </c>
      <c r="L142" s="156">
        <v>5.01</v>
      </c>
    </row>
    <row r="143">
      <c r="A143" s="154"/>
      <c r="B143" s="155" t="s">
        <v>354</v>
      </c>
      <c r="C143" s="155" t="s">
        <v>362</v>
      </c>
      <c r="D143" s="156">
        <v>27.0</v>
      </c>
      <c r="E143" s="156">
        <v>26.25</v>
      </c>
      <c r="F143" s="156">
        <v>207.0</v>
      </c>
      <c r="G143" s="156">
        <v>5589.0</v>
      </c>
      <c r="H143" s="157">
        <v>5433.75</v>
      </c>
      <c r="I143" s="156">
        <v>4696.79</v>
      </c>
      <c r="J143" s="158">
        <v>637.32</v>
      </c>
      <c r="K143" s="156">
        <v>4294.29</v>
      </c>
      <c r="L143" s="156">
        <v>1.62</v>
      </c>
    </row>
    <row r="144">
      <c r="A144" s="154"/>
      <c r="B144" s="155" t="s">
        <v>354</v>
      </c>
      <c r="C144" s="155" t="s">
        <v>363</v>
      </c>
      <c r="D144" s="156">
        <v>32.0</v>
      </c>
      <c r="E144" s="156">
        <v>29.54</v>
      </c>
      <c r="F144" s="156">
        <v>200.0</v>
      </c>
      <c r="G144" s="156">
        <v>6400.0</v>
      </c>
      <c r="H144" s="157">
        <v>5907.2</v>
      </c>
      <c r="I144" s="156">
        <v>4263.07</v>
      </c>
      <c r="J144" s="158">
        <v>259.29</v>
      </c>
      <c r="K144" s="156">
        <v>3825.49</v>
      </c>
      <c r="L144" s="156">
        <v>1.76</v>
      </c>
    </row>
    <row r="145">
      <c r="A145" s="154"/>
      <c r="B145" s="155" t="s">
        <v>354</v>
      </c>
      <c r="C145" s="155" t="s">
        <v>364</v>
      </c>
      <c r="D145" s="156">
        <v>46.0</v>
      </c>
      <c r="E145" s="156">
        <v>44.58</v>
      </c>
      <c r="F145" s="156">
        <v>176.0</v>
      </c>
      <c r="G145" s="156">
        <v>8096.0</v>
      </c>
      <c r="H145" s="157">
        <v>7845.3</v>
      </c>
      <c r="I145" s="156">
        <v>5763.32</v>
      </c>
      <c r="J145" s="158">
        <v>276.82</v>
      </c>
      <c r="K145" s="156">
        <v>5182.2</v>
      </c>
      <c r="L145" s="156">
        <v>2.34</v>
      </c>
    </row>
    <row r="146">
      <c r="A146" s="154"/>
      <c r="B146" s="155" t="s">
        <v>354</v>
      </c>
      <c r="C146" s="155" t="s">
        <v>365</v>
      </c>
      <c r="D146" s="156">
        <v>39.0</v>
      </c>
      <c r="E146" s="156">
        <v>36.92</v>
      </c>
      <c r="F146" s="156">
        <v>176.0</v>
      </c>
      <c r="G146" s="156">
        <v>6864.0</v>
      </c>
      <c r="H146" s="157">
        <v>6497.4</v>
      </c>
      <c r="I146" s="156">
        <v>4639.64</v>
      </c>
      <c r="J146" s="158">
        <v>249.74</v>
      </c>
      <c r="K146" s="156">
        <v>3424.67</v>
      </c>
      <c r="L146" s="156">
        <v>1.94</v>
      </c>
    </row>
    <row r="147">
      <c r="A147" s="154"/>
      <c r="B147" s="155" t="s">
        <v>354</v>
      </c>
      <c r="C147" s="155" t="s">
        <v>366</v>
      </c>
      <c r="D147" s="156">
        <v>35.0</v>
      </c>
      <c r="E147" s="156">
        <v>33.76</v>
      </c>
      <c r="F147" s="156">
        <v>136.0</v>
      </c>
      <c r="G147" s="156">
        <v>4760.0</v>
      </c>
      <c r="H147" s="157">
        <v>4592.0</v>
      </c>
      <c r="I147" s="156">
        <v>3539.57</v>
      </c>
      <c r="J147" s="158">
        <v>336.32</v>
      </c>
      <c r="K147" s="156">
        <v>3199.39</v>
      </c>
      <c r="L147" s="156">
        <v>1.37</v>
      </c>
    </row>
    <row r="148">
      <c r="A148" s="154"/>
      <c r="B148" s="155" t="s">
        <v>354</v>
      </c>
      <c r="C148" s="155" t="s">
        <v>367</v>
      </c>
      <c r="D148" s="156">
        <v>62.0</v>
      </c>
      <c r="E148" s="156">
        <v>57.44</v>
      </c>
      <c r="F148" s="156">
        <v>115.0</v>
      </c>
      <c r="G148" s="156">
        <v>7130.0</v>
      </c>
      <c r="H148" s="157">
        <v>6606.1</v>
      </c>
      <c r="I148" s="156">
        <v>4408.99</v>
      </c>
      <c r="J148" s="158">
        <v>200.67</v>
      </c>
      <c r="K148" s="156">
        <v>3173.75</v>
      </c>
      <c r="L148" s="156">
        <v>1.97</v>
      </c>
    </row>
    <row r="149">
      <c r="A149" s="154"/>
      <c r="B149" s="155" t="s">
        <v>354</v>
      </c>
      <c r="C149" s="155" t="s">
        <v>368</v>
      </c>
      <c r="D149" s="156">
        <v>79.0</v>
      </c>
      <c r="E149" s="156">
        <v>76.12</v>
      </c>
      <c r="F149" s="156">
        <v>114.0</v>
      </c>
      <c r="G149" s="156">
        <v>9006.0</v>
      </c>
      <c r="H149" s="157">
        <v>8678.15</v>
      </c>
      <c r="I149" s="156">
        <v>6238.9</v>
      </c>
      <c r="J149" s="158">
        <v>255.77</v>
      </c>
      <c r="K149" s="156">
        <v>5596.07</v>
      </c>
      <c r="L149" s="156">
        <v>2.59</v>
      </c>
    </row>
    <row r="150">
      <c r="A150" s="154"/>
      <c r="B150" s="155" t="s">
        <v>354</v>
      </c>
      <c r="C150" s="155" t="s">
        <v>369</v>
      </c>
      <c r="D150" s="156">
        <v>28.0</v>
      </c>
      <c r="E150" s="156">
        <v>27.33</v>
      </c>
      <c r="F150" s="156">
        <v>106.0</v>
      </c>
      <c r="G150" s="156">
        <v>2968.0</v>
      </c>
      <c r="H150" s="157">
        <v>2896.6</v>
      </c>
      <c r="I150" s="156">
        <v>2400.98</v>
      </c>
      <c r="J150" s="158">
        <v>484.44</v>
      </c>
      <c r="K150" s="156">
        <v>2186.44</v>
      </c>
      <c r="L150" s="156">
        <v>0.86</v>
      </c>
    </row>
    <row r="151">
      <c r="A151" s="154"/>
      <c r="B151" s="155" t="s">
        <v>354</v>
      </c>
      <c r="C151" s="155" t="s">
        <v>370</v>
      </c>
      <c r="D151" s="156">
        <v>66.0</v>
      </c>
      <c r="E151" s="156">
        <v>64.35</v>
      </c>
      <c r="F151" s="156">
        <v>106.0</v>
      </c>
      <c r="G151" s="156">
        <v>6996.0</v>
      </c>
      <c r="H151" s="157">
        <v>6821.1</v>
      </c>
      <c r="I151" s="156">
        <v>4909.88</v>
      </c>
      <c r="J151" s="158">
        <v>256.9</v>
      </c>
      <c r="K151" s="156">
        <v>4404.6</v>
      </c>
      <c r="L151" s="156">
        <v>2.03</v>
      </c>
    </row>
    <row r="152">
      <c r="A152" s="154"/>
      <c r="B152" s="155" t="s">
        <v>354</v>
      </c>
      <c r="C152" s="155" t="s">
        <v>371</v>
      </c>
      <c r="D152" s="156">
        <v>62.0</v>
      </c>
      <c r="E152" s="156">
        <v>58.07</v>
      </c>
      <c r="F152" s="156">
        <v>101.0</v>
      </c>
      <c r="G152" s="156">
        <v>6262.0</v>
      </c>
      <c r="H152" s="157">
        <v>5865.2</v>
      </c>
      <c r="I152" s="156">
        <v>3754.4</v>
      </c>
      <c r="J152" s="158">
        <v>177.87</v>
      </c>
      <c r="K152" s="156">
        <v>3319.93</v>
      </c>
      <c r="L152" s="156">
        <v>1.75</v>
      </c>
    </row>
    <row r="153">
      <c r="A153" s="154"/>
      <c r="B153" s="155" t="s">
        <v>354</v>
      </c>
      <c r="C153" s="155" t="s">
        <v>372</v>
      </c>
      <c r="D153" s="156">
        <v>40.0</v>
      </c>
      <c r="E153" s="156">
        <v>38.18</v>
      </c>
      <c r="F153" s="156">
        <v>98.0</v>
      </c>
      <c r="G153" s="156">
        <v>3920.0</v>
      </c>
      <c r="H153" s="157">
        <v>3742.0</v>
      </c>
      <c r="I153" s="156">
        <v>2823.38</v>
      </c>
      <c r="J153" s="158">
        <v>307.35</v>
      </c>
      <c r="K153" s="156">
        <v>2546.21</v>
      </c>
      <c r="L153" s="156">
        <v>1.12</v>
      </c>
    </row>
    <row r="154">
      <c r="A154" s="154"/>
      <c r="B154" s="155" t="s">
        <v>354</v>
      </c>
      <c r="C154" s="155" t="s">
        <v>373</v>
      </c>
      <c r="D154" s="156">
        <v>74.0</v>
      </c>
      <c r="E154" s="156">
        <v>70.7</v>
      </c>
      <c r="F154" s="156">
        <v>92.0</v>
      </c>
      <c r="G154" s="156">
        <v>6808.0</v>
      </c>
      <c r="H154" s="157">
        <v>6504.6</v>
      </c>
      <c r="I154" s="156">
        <v>4530.6</v>
      </c>
      <c r="J154" s="158">
        <v>229.51</v>
      </c>
      <c r="K154" s="156">
        <v>3314.3</v>
      </c>
      <c r="L154" s="156">
        <v>1.94</v>
      </c>
    </row>
    <row r="155">
      <c r="A155" s="154"/>
      <c r="B155" s="155" t="s">
        <v>354</v>
      </c>
      <c r="C155" s="155" t="s">
        <v>374</v>
      </c>
      <c r="D155" s="156">
        <v>9.61</v>
      </c>
      <c r="E155" s="156">
        <v>9.46</v>
      </c>
      <c r="F155" s="156">
        <v>92.0</v>
      </c>
      <c r="G155" s="156">
        <v>884.0</v>
      </c>
      <c r="H155" s="157">
        <v>870.65</v>
      </c>
      <c r="I155" s="156">
        <v>499.25</v>
      </c>
      <c r="J155" s="158">
        <v>134.42</v>
      </c>
      <c r="K155" s="156">
        <v>434.74</v>
      </c>
      <c r="L155" s="156">
        <v>0.26</v>
      </c>
    </row>
    <row r="156">
      <c r="A156" s="154"/>
      <c r="B156" s="155" t="s">
        <v>354</v>
      </c>
      <c r="C156" s="155" t="s">
        <v>375</v>
      </c>
      <c r="D156" s="156">
        <v>75.0</v>
      </c>
      <c r="E156" s="156">
        <v>72.41</v>
      </c>
      <c r="F156" s="156">
        <v>81.0</v>
      </c>
      <c r="G156" s="156">
        <v>6075.0</v>
      </c>
      <c r="H156" s="157">
        <v>5865.0</v>
      </c>
      <c r="I156" s="156">
        <v>4671.79</v>
      </c>
      <c r="J156" s="158">
        <v>391.53</v>
      </c>
      <c r="K156" s="156">
        <v>4237.35</v>
      </c>
      <c r="L156" s="156">
        <v>1.75</v>
      </c>
    </row>
    <row r="157">
      <c r="A157" s="154"/>
      <c r="B157" s="155" t="s">
        <v>354</v>
      </c>
      <c r="C157" s="155" t="s">
        <v>376</v>
      </c>
      <c r="D157" s="156">
        <v>12.0</v>
      </c>
      <c r="E157" s="156">
        <v>11.92</v>
      </c>
      <c r="F157" s="156">
        <v>71.0</v>
      </c>
      <c r="G157" s="156">
        <v>852.0</v>
      </c>
      <c r="H157" s="157">
        <v>846.6</v>
      </c>
      <c r="I157" s="156">
        <v>561.74</v>
      </c>
      <c r="J157" s="158">
        <v>197.2</v>
      </c>
      <c r="K157" s="156">
        <v>498.99</v>
      </c>
      <c r="L157" s="156">
        <v>0.25</v>
      </c>
    </row>
    <row r="158">
      <c r="A158" s="154"/>
      <c r="B158" s="155" t="s">
        <v>354</v>
      </c>
      <c r="C158" s="155" t="s">
        <v>377</v>
      </c>
      <c r="D158" s="156">
        <v>28.0</v>
      </c>
      <c r="E158" s="156">
        <v>27.39</v>
      </c>
      <c r="F158" s="156">
        <v>60.0</v>
      </c>
      <c r="G158" s="156">
        <v>1680.0</v>
      </c>
      <c r="H158" s="157">
        <v>1643.6</v>
      </c>
      <c r="I158" s="156">
        <v>1430.78</v>
      </c>
      <c r="J158" s="158">
        <v>672.3</v>
      </c>
      <c r="K158" s="156">
        <v>1309.03</v>
      </c>
      <c r="L158" s="156">
        <v>0.49</v>
      </c>
    </row>
    <row r="159">
      <c r="A159" s="154"/>
      <c r="B159" s="155" t="s">
        <v>354</v>
      </c>
      <c r="C159" s="155" t="s">
        <v>378</v>
      </c>
      <c r="D159" s="156">
        <v>70.0</v>
      </c>
      <c r="E159" s="156">
        <v>67.47</v>
      </c>
      <c r="F159" s="156">
        <v>58.0</v>
      </c>
      <c r="G159" s="156">
        <v>4060.0</v>
      </c>
      <c r="H159" s="157">
        <v>3913.0</v>
      </c>
      <c r="I159" s="156">
        <v>2994.96</v>
      </c>
      <c r="J159" s="158">
        <v>326.23</v>
      </c>
      <c r="K159" s="156">
        <v>2705.1</v>
      </c>
      <c r="L159" s="156">
        <v>1.17</v>
      </c>
    </row>
    <row r="160">
      <c r="A160" s="154"/>
      <c r="B160" s="155" t="s">
        <v>354</v>
      </c>
      <c r="C160" s="155" t="s">
        <v>379</v>
      </c>
      <c r="D160" s="156">
        <v>0.0</v>
      </c>
      <c r="E160" s="156">
        <v>0.0</v>
      </c>
      <c r="F160" s="156">
        <v>58.0</v>
      </c>
      <c r="G160" s="156">
        <v>0.0</v>
      </c>
      <c r="H160" s="157">
        <v>0.0</v>
      </c>
      <c r="I160" s="156">
        <v>-115.55</v>
      </c>
      <c r="J160" s="158">
        <v>-100.0</v>
      </c>
      <c r="K160" s="156">
        <v>-115.55</v>
      </c>
      <c r="L160" s="156">
        <v>0.0</v>
      </c>
    </row>
    <row r="161">
      <c r="A161" s="154"/>
      <c r="B161" s="155" t="s">
        <v>354</v>
      </c>
      <c r="C161" s="155" t="s">
        <v>380</v>
      </c>
      <c r="D161" s="156">
        <v>59.0</v>
      </c>
      <c r="E161" s="156">
        <v>56.05</v>
      </c>
      <c r="F161" s="156">
        <v>48.0</v>
      </c>
      <c r="G161" s="156">
        <v>2832.0</v>
      </c>
      <c r="H161" s="157">
        <v>2690.4</v>
      </c>
      <c r="I161" s="156">
        <v>1888.0</v>
      </c>
      <c r="J161" s="158">
        <v>235.29</v>
      </c>
      <c r="K161" s="156">
        <v>1688.71</v>
      </c>
      <c r="L161" s="156">
        <v>0.8</v>
      </c>
    </row>
    <row r="162">
      <c r="A162" s="154"/>
      <c r="B162" s="155" t="s">
        <v>354</v>
      </c>
      <c r="C162" s="155" t="s">
        <v>381</v>
      </c>
      <c r="D162" s="156">
        <v>28.0</v>
      </c>
      <c r="E162" s="156">
        <v>27.09</v>
      </c>
      <c r="F162" s="156">
        <v>46.0</v>
      </c>
      <c r="G162" s="156">
        <v>1288.0</v>
      </c>
      <c r="H162" s="157">
        <v>1246.0</v>
      </c>
      <c r="I162" s="156">
        <v>686.91</v>
      </c>
      <c r="J162" s="158">
        <v>122.86</v>
      </c>
      <c r="K162" s="156">
        <v>453.92</v>
      </c>
      <c r="L162" s="156">
        <v>0.37</v>
      </c>
    </row>
    <row r="163">
      <c r="A163" s="154"/>
      <c r="B163" s="155" t="s">
        <v>354</v>
      </c>
      <c r="C163" s="155" t="s">
        <v>382</v>
      </c>
      <c r="D163" s="156">
        <v>11.0</v>
      </c>
      <c r="E163" s="156">
        <v>11.0</v>
      </c>
      <c r="F163" s="156">
        <v>45.0</v>
      </c>
      <c r="G163" s="156">
        <v>495.0</v>
      </c>
      <c r="H163" s="157">
        <v>495.0</v>
      </c>
      <c r="I163" s="156">
        <v>245.71</v>
      </c>
      <c r="J163" s="158">
        <v>98.56</v>
      </c>
      <c r="K163" s="156">
        <v>209.08</v>
      </c>
      <c r="L163" s="156">
        <v>0.15</v>
      </c>
    </row>
    <row r="164">
      <c r="A164" s="154"/>
      <c r="B164" s="155" t="s">
        <v>354</v>
      </c>
      <c r="C164" s="155" t="s">
        <v>383</v>
      </c>
      <c r="D164" s="156">
        <v>58.0</v>
      </c>
      <c r="E164" s="156">
        <v>55.1</v>
      </c>
      <c r="F164" s="156">
        <v>44.0</v>
      </c>
      <c r="G164" s="156">
        <v>2552.0</v>
      </c>
      <c r="H164" s="157">
        <v>2424.4</v>
      </c>
      <c r="I164" s="156">
        <v>1881.62</v>
      </c>
      <c r="J164" s="158">
        <v>346.66</v>
      </c>
      <c r="K164" s="156">
        <v>1702.02</v>
      </c>
      <c r="L164" s="156">
        <v>0.72</v>
      </c>
    </row>
    <row r="165">
      <c r="A165" s="154"/>
      <c r="B165" s="155" t="s">
        <v>354</v>
      </c>
      <c r="C165" s="155" t="s">
        <v>384</v>
      </c>
      <c r="D165" s="156">
        <v>51.0</v>
      </c>
      <c r="E165" s="156">
        <v>48.45</v>
      </c>
      <c r="F165" s="156">
        <v>42.0</v>
      </c>
      <c r="G165" s="156">
        <v>2142.0</v>
      </c>
      <c r="H165" s="157">
        <v>2034.9</v>
      </c>
      <c r="I165" s="156">
        <v>1477.25</v>
      </c>
      <c r="J165" s="158">
        <v>264.91</v>
      </c>
      <c r="K165" s="156">
        <v>1326.51</v>
      </c>
      <c r="L165" s="156">
        <v>0.61</v>
      </c>
    </row>
    <row r="166">
      <c r="A166" s="154"/>
      <c r="B166" s="155" t="s">
        <v>354</v>
      </c>
      <c r="C166" s="155" t="s">
        <v>385</v>
      </c>
      <c r="D166" s="156">
        <v>34.0</v>
      </c>
      <c r="E166" s="156">
        <v>32.6</v>
      </c>
      <c r="F166" s="156">
        <v>40.0</v>
      </c>
      <c r="G166" s="156">
        <v>1360.0</v>
      </c>
      <c r="H166" s="157">
        <v>1303.9</v>
      </c>
      <c r="I166" s="156">
        <v>992.0</v>
      </c>
      <c r="J166" s="158">
        <v>318.05</v>
      </c>
      <c r="K166" s="156">
        <v>895.4</v>
      </c>
      <c r="L166" s="156">
        <v>0.39</v>
      </c>
    </row>
    <row r="167">
      <c r="A167" s="154"/>
      <c r="B167" s="155" t="s">
        <v>354</v>
      </c>
      <c r="C167" s="155" t="s">
        <v>386</v>
      </c>
      <c r="D167" s="156">
        <v>62.0</v>
      </c>
      <c r="E167" s="156">
        <v>61.23</v>
      </c>
      <c r="F167" s="156">
        <v>36.0</v>
      </c>
      <c r="G167" s="156">
        <v>2232.0</v>
      </c>
      <c r="H167" s="157">
        <v>2204.1</v>
      </c>
      <c r="I167" s="156">
        <v>1520.15</v>
      </c>
      <c r="J167" s="158">
        <v>222.26</v>
      </c>
      <c r="K167" s="156">
        <v>1356.89</v>
      </c>
      <c r="L167" s="156">
        <v>0.66</v>
      </c>
    </row>
    <row r="168">
      <c r="A168" s="154"/>
      <c r="B168" s="155" t="s">
        <v>354</v>
      </c>
      <c r="C168" s="155" t="s">
        <v>387</v>
      </c>
      <c r="D168" s="156">
        <v>30.0</v>
      </c>
      <c r="E168" s="156">
        <v>29.46</v>
      </c>
      <c r="F168" s="156">
        <v>25.0</v>
      </c>
      <c r="G168" s="156">
        <v>750.0</v>
      </c>
      <c r="H168" s="157">
        <v>736.5</v>
      </c>
      <c r="I168" s="156">
        <v>608.61</v>
      </c>
      <c r="J168" s="158">
        <v>475.89</v>
      </c>
      <c r="K168" s="156">
        <v>554.08</v>
      </c>
      <c r="L168" s="156">
        <v>0.22</v>
      </c>
    </row>
    <row r="169">
      <c r="A169" s="154"/>
      <c r="B169" s="155" t="s">
        <v>354</v>
      </c>
      <c r="C169" s="155" t="s">
        <v>388</v>
      </c>
      <c r="D169" s="156">
        <v>18.0</v>
      </c>
      <c r="E169" s="156">
        <v>17.88</v>
      </c>
      <c r="F169" s="156">
        <v>22.0</v>
      </c>
      <c r="G169" s="156">
        <v>396.0</v>
      </c>
      <c r="H169" s="157">
        <v>393.3</v>
      </c>
      <c r="I169" s="156">
        <v>349.47</v>
      </c>
      <c r="J169" s="158">
        <v>797.33</v>
      </c>
      <c r="K169" s="156">
        <v>320.35</v>
      </c>
      <c r="L169" s="156">
        <v>0.12</v>
      </c>
    </row>
    <row r="170">
      <c r="A170" s="154"/>
      <c r="B170" s="155" t="s">
        <v>354</v>
      </c>
      <c r="C170" s="155" t="s">
        <v>389</v>
      </c>
      <c r="D170" s="156">
        <v>59.0</v>
      </c>
      <c r="E170" s="156">
        <v>54.76</v>
      </c>
      <c r="F170" s="156">
        <v>16.0</v>
      </c>
      <c r="G170" s="156">
        <v>944.0</v>
      </c>
      <c r="H170" s="157">
        <v>876.15</v>
      </c>
      <c r="I170" s="156">
        <v>645.45</v>
      </c>
      <c r="J170" s="158">
        <v>279.78</v>
      </c>
      <c r="K170" s="156">
        <v>580.55</v>
      </c>
      <c r="L170" s="156">
        <v>0.26</v>
      </c>
    </row>
    <row r="171">
      <c r="A171" s="154"/>
      <c r="B171" s="155" t="s">
        <v>354</v>
      </c>
      <c r="C171" s="155" t="s">
        <v>390</v>
      </c>
      <c r="D171" s="156">
        <v>28.53</v>
      </c>
      <c r="E171" s="156">
        <v>28.53</v>
      </c>
      <c r="F171" s="156">
        <v>15.0</v>
      </c>
      <c r="G171" s="156">
        <v>428.0</v>
      </c>
      <c r="H171" s="157">
        <v>428.0</v>
      </c>
      <c r="I171" s="156">
        <v>298.39</v>
      </c>
      <c r="J171" s="158">
        <v>230.22</v>
      </c>
      <c r="K171" s="156">
        <v>266.67</v>
      </c>
      <c r="L171" s="156">
        <v>0.13</v>
      </c>
    </row>
    <row r="172">
      <c r="A172" s="154"/>
      <c r="B172" s="155" t="s">
        <v>354</v>
      </c>
      <c r="C172" s="155" t="s">
        <v>391</v>
      </c>
      <c r="D172" s="156">
        <v>9.5</v>
      </c>
      <c r="E172" s="156">
        <v>9.4</v>
      </c>
      <c r="F172" s="156">
        <v>15.0</v>
      </c>
      <c r="G172" s="156">
        <v>142.5</v>
      </c>
      <c r="H172" s="157">
        <v>141.07</v>
      </c>
      <c r="I172" s="156">
        <v>96.82</v>
      </c>
      <c r="J172" s="158">
        <v>218.8</v>
      </c>
      <c r="K172" s="156">
        <v>86.4</v>
      </c>
      <c r="L172" s="156">
        <v>0.04</v>
      </c>
    </row>
    <row r="173">
      <c r="A173" s="154"/>
      <c r="B173" s="155" t="s">
        <v>354</v>
      </c>
      <c r="C173" s="155" t="s">
        <v>392</v>
      </c>
      <c r="D173" s="156">
        <v>5.0</v>
      </c>
      <c r="E173" s="156">
        <v>5.0</v>
      </c>
      <c r="F173" s="156">
        <v>14.0</v>
      </c>
      <c r="G173" s="156">
        <v>70.0</v>
      </c>
      <c r="H173" s="157">
        <v>70.0</v>
      </c>
      <c r="I173" s="156">
        <v>48.37</v>
      </c>
      <c r="J173" s="158">
        <v>223.62</v>
      </c>
      <c r="K173" s="156">
        <v>43.19</v>
      </c>
      <c r="L173" s="156">
        <v>0.02</v>
      </c>
    </row>
    <row r="174">
      <c r="A174" s="154"/>
      <c r="B174" s="155" t="s">
        <v>354</v>
      </c>
      <c r="C174" s="155" t="s">
        <v>393</v>
      </c>
      <c r="D174" s="156">
        <v>4.0</v>
      </c>
      <c r="E174" s="156">
        <v>4.0</v>
      </c>
      <c r="F174" s="156">
        <v>13.0</v>
      </c>
      <c r="G174" s="156">
        <v>52.0</v>
      </c>
      <c r="H174" s="157">
        <v>52.0</v>
      </c>
      <c r="I174" s="156">
        <v>42.25</v>
      </c>
      <c r="J174" s="158">
        <v>433.33</v>
      </c>
      <c r="K174" s="156">
        <v>38.4</v>
      </c>
      <c r="L174" s="156">
        <v>0.02</v>
      </c>
    </row>
    <row r="175">
      <c r="A175" s="154"/>
      <c r="B175" s="155" t="s">
        <v>354</v>
      </c>
      <c r="C175" s="155" t="s">
        <v>394</v>
      </c>
      <c r="D175" s="156">
        <v>37.0</v>
      </c>
      <c r="E175" s="156">
        <v>36.5</v>
      </c>
      <c r="F175" s="156">
        <v>11.0</v>
      </c>
      <c r="G175" s="156">
        <v>407.0</v>
      </c>
      <c r="H175" s="157">
        <v>401.45</v>
      </c>
      <c r="I175" s="156">
        <v>297.94</v>
      </c>
      <c r="J175" s="158">
        <v>287.84</v>
      </c>
      <c r="K175" s="156">
        <v>268.21</v>
      </c>
      <c r="L175" s="156">
        <v>0.12</v>
      </c>
    </row>
    <row r="176">
      <c r="A176" s="154"/>
      <c r="B176" s="155" t="s">
        <v>354</v>
      </c>
      <c r="C176" s="155" t="s">
        <v>395</v>
      </c>
      <c r="D176" s="156">
        <v>70.0</v>
      </c>
      <c r="E176" s="156">
        <v>66.5</v>
      </c>
      <c r="F176" s="156">
        <v>10.0</v>
      </c>
      <c r="G176" s="156">
        <v>700.0</v>
      </c>
      <c r="H176" s="157">
        <v>665.0</v>
      </c>
      <c r="I176" s="156">
        <v>497.93</v>
      </c>
      <c r="J176" s="158">
        <v>298.04</v>
      </c>
      <c r="K176" s="156">
        <v>373.58</v>
      </c>
      <c r="L176" s="156">
        <v>0.2</v>
      </c>
    </row>
    <row r="177">
      <c r="A177" s="154"/>
      <c r="B177" s="155" t="s">
        <v>354</v>
      </c>
      <c r="C177" s="155" t="s">
        <v>396</v>
      </c>
      <c r="D177" s="156">
        <v>12.0</v>
      </c>
      <c r="E177" s="156">
        <v>12.0</v>
      </c>
      <c r="F177" s="156">
        <v>9.0</v>
      </c>
      <c r="G177" s="156">
        <v>108.0</v>
      </c>
      <c r="H177" s="157">
        <v>108.0</v>
      </c>
      <c r="I177" s="156">
        <v>90.69</v>
      </c>
      <c r="J177" s="158">
        <v>523.92</v>
      </c>
      <c r="K177" s="156">
        <v>82.68</v>
      </c>
      <c r="L177" s="156">
        <v>0.03</v>
      </c>
    </row>
    <row r="178">
      <c r="A178" s="154"/>
      <c r="B178" s="155" t="s">
        <v>354</v>
      </c>
      <c r="C178" s="155" t="s">
        <v>397</v>
      </c>
      <c r="D178" s="156">
        <v>10.0</v>
      </c>
      <c r="E178" s="156">
        <v>10.0</v>
      </c>
      <c r="F178" s="156">
        <v>8.0</v>
      </c>
      <c r="G178" s="156">
        <v>80.0</v>
      </c>
      <c r="H178" s="157">
        <v>80.0</v>
      </c>
      <c r="I178" s="156">
        <v>63.79</v>
      </c>
      <c r="J178" s="158">
        <v>393.52</v>
      </c>
      <c r="K178" s="156">
        <v>57.87</v>
      </c>
      <c r="L178" s="156">
        <v>0.02</v>
      </c>
    </row>
    <row r="179">
      <c r="A179" s="154"/>
      <c r="B179" s="155" t="s">
        <v>354</v>
      </c>
      <c r="C179" s="155" t="s">
        <v>398</v>
      </c>
      <c r="D179" s="156">
        <v>25.0</v>
      </c>
      <c r="E179" s="156">
        <v>25.0</v>
      </c>
      <c r="F179" s="156">
        <v>8.0</v>
      </c>
      <c r="G179" s="156">
        <v>200.0</v>
      </c>
      <c r="H179" s="157">
        <v>200.0</v>
      </c>
      <c r="I179" s="156">
        <v>159.68</v>
      </c>
      <c r="J179" s="158">
        <v>396.03</v>
      </c>
      <c r="K179" s="156">
        <v>144.88</v>
      </c>
      <c r="L179" s="156">
        <v>0.06</v>
      </c>
    </row>
    <row r="180">
      <c r="A180" s="154"/>
      <c r="B180" s="155" t="s">
        <v>354</v>
      </c>
      <c r="C180" s="155" t="s">
        <v>399</v>
      </c>
      <c r="D180" s="156">
        <v>100.0</v>
      </c>
      <c r="E180" s="156">
        <v>100.0</v>
      </c>
      <c r="F180" s="156">
        <v>6.0</v>
      </c>
      <c r="G180" s="156">
        <v>600.0</v>
      </c>
      <c r="H180" s="157">
        <v>600.0</v>
      </c>
      <c r="I180" s="156">
        <v>532.94</v>
      </c>
      <c r="J180" s="158">
        <v>794.72</v>
      </c>
      <c r="K180" s="156">
        <v>488.5</v>
      </c>
      <c r="L180" s="156">
        <v>0.18</v>
      </c>
    </row>
    <row r="181">
      <c r="A181" s="154"/>
      <c r="B181" s="155" t="s">
        <v>354</v>
      </c>
      <c r="C181" s="155" t="s">
        <v>400</v>
      </c>
      <c r="D181" s="156">
        <v>120.0</v>
      </c>
      <c r="E181" s="156">
        <v>120.0</v>
      </c>
      <c r="F181" s="156">
        <v>6.0</v>
      </c>
      <c r="G181" s="156">
        <v>720.0</v>
      </c>
      <c r="H181" s="157">
        <v>720.0</v>
      </c>
      <c r="I181" s="156">
        <v>534.14</v>
      </c>
      <c r="J181" s="158">
        <v>287.39</v>
      </c>
      <c r="K181" s="156">
        <v>480.8</v>
      </c>
      <c r="L181" s="156">
        <v>0.21</v>
      </c>
    </row>
    <row r="182">
      <c r="A182" s="154"/>
      <c r="B182" s="155" t="s">
        <v>354</v>
      </c>
      <c r="C182" s="155" t="s">
        <v>401</v>
      </c>
      <c r="D182" s="156">
        <v>5.5</v>
      </c>
      <c r="E182" s="156">
        <v>5.5</v>
      </c>
      <c r="F182" s="156">
        <v>6.0</v>
      </c>
      <c r="G182" s="156">
        <v>33.0</v>
      </c>
      <c r="H182" s="157">
        <v>33.0</v>
      </c>
      <c r="I182" s="156">
        <v>14.95</v>
      </c>
      <c r="J182" s="158">
        <v>82.83</v>
      </c>
      <c r="K182" s="156">
        <v>12.51</v>
      </c>
      <c r="L182" s="156">
        <v>0.01</v>
      </c>
    </row>
    <row r="183">
      <c r="A183" s="154"/>
      <c r="B183" s="155" t="s">
        <v>354</v>
      </c>
      <c r="C183" s="155" t="s">
        <v>402</v>
      </c>
      <c r="D183" s="156">
        <v>19.0</v>
      </c>
      <c r="E183" s="156">
        <v>18.43</v>
      </c>
      <c r="F183" s="156">
        <v>5.0</v>
      </c>
      <c r="G183" s="156">
        <v>95.0</v>
      </c>
      <c r="H183" s="157">
        <v>92.15</v>
      </c>
      <c r="I183" s="156">
        <v>75.85</v>
      </c>
      <c r="J183" s="158">
        <v>465.34</v>
      </c>
      <c r="K183" s="156">
        <v>69.02</v>
      </c>
      <c r="L183" s="156">
        <v>0.03</v>
      </c>
    </row>
    <row r="184">
      <c r="A184" s="154"/>
      <c r="B184" s="155" t="s">
        <v>354</v>
      </c>
      <c r="C184" s="155" t="s">
        <v>403</v>
      </c>
      <c r="D184" s="156">
        <v>65.0</v>
      </c>
      <c r="E184" s="156">
        <v>65.0</v>
      </c>
      <c r="F184" s="156">
        <v>5.0</v>
      </c>
      <c r="G184" s="156">
        <v>325.0</v>
      </c>
      <c r="H184" s="157">
        <v>325.0</v>
      </c>
      <c r="I184" s="156">
        <v>230.04</v>
      </c>
      <c r="J184" s="158">
        <v>242.25</v>
      </c>
      <c r="K184" s="156">
        <v>205.97</v>
      </c>
      <c r="L184" s="156">
        <v>0.1</v>
      </c>
    </row>
    <row r="185">
      <c r="A185" s="154"/>
      <c r="B185" s="155" t="s">
        <v>354</v>
      </c>
      <c r="C185" s="155" t="s">
        <v>404</v>
      </c>
      <c r="D185" s="156">
        <v>119.0</v>
      </c>
      <c r="E185" s="156">
        <v>104.13</v>
      </c>
      <c r="F185" s="156">
        <v>4.0</v>
      </c>
      <c r="G185" s="156">
        <v>476.0</v>
      </c>
      <c r="H185" s="157">
        <v>416.5</v>
      </c>
      <c r="I185" s="156">
        <v>263.95</v>
      </c>
      <c r="J185" s="158">
        <v>173.03</v>
      </c>
      <c r="K185" s="156">
        <v>186.07</v>
      </c>
      <c r="L185" s="156">
        <v>0.12</v>
      </c>
    </row>
    <row r="186">
      <c r="A186" s="154"/>
      <c r="B186" s="155" t="s">
        <v>354</v>
      </c>
      <c r="C186" s="155" t="s">
        <v>405</v>
      </c>
      <c r="D186" s="156">
        <v>47.0</v>
      </c>
      <c r="E186" s="156">
        <v>47.0</v>
      </c>
      <c r="F186" s="156">
        <v>3.0</v>
      </c>
      <c r="G186" s="156">
        <v>141.0</v>
      </c>
      <c r="H186" s="157">
        <v>141.0</v>
      </c>
      <c r="I186" s="156">
        <v>108.37</v>
      </c>
      <c r="J186" s="158">
        <v>332.12</v>
      </c>
      <c r="K186" s="156">
        <v>97.93</v>
      </c>
      <c r="L186" s="156">
        <v>0.04</v>
      </c>
    </row>
    <row r="187">
      <c r="A187" s="154"/>
      <c r="B187" s="155" t="s">
        <v>354</v>
      </c>
      <c r="C187" s="155" t="s">
        <v>406</v>
      </c>
      <c r="D187" s="156">
        <v>18.0</v>
      </c>
      <c r="E187" s="156">
        <v>18.0</v>
      </c>
      <c r="F187" s="156">
        <v>3.0</v>
      </c>
      <c r="G187" s="156">
        <v>54.0</v>
      </c>
      <c r="H187" s="157">
        <v>54.0</v>
      </c>
      <c r="I187" s="156">
        <v>42.16</v>
      </c>
      <c r="J187" s="158">
        <v>356.08</v>
      </c>
      <c r="K187" s="156">
        <v>38.16</v>
      </c>
      <c r="L187" s="156">
        <v>0.02</v>
      </c>
    </row>
    <row r="188">
      <c r="A188" s="154"/>
      <c r="B188" s="155" t="s">
        <v>354</v>
      </c>
      <c r="C188" s="155" t="s">
        <v>407</v>
      </c>
      <c r="D188" s="156">
        <v>4.0</v>
      </c>
      <c r="E188" s="156">
        <v>4.0</v>
      </c>
      <c r="F188" s="156">
        <v>3.0</v>
      </c>
      <c r="G188" s="156">
        <v>12.0</v>
      </c>
      <c r="H188" s="157">
        <v>12.0</v>
      </c>
      <c r="I188" s="156">
        <v>10.25</v>
      </c>
      <c r="J188" s="158">
        <v>585.71</v>
      </c>
      <c r="K188" s="156">
        <v>9.36</v>
      </c>
      <c r="L188" s="156">
        <v>0.0</v>
      </c>
    </row>
    <row r="189">
      <c r="A189" s="154"/>
      <c r="B189" s="155" t="s">
        <v>354</v>
      </c>
      <c r="C189" s="155" t="s">
        <v>408</v>
      </c>
      <c r="D189" s="156">
        <v>102.0</v>
      </c>
      <c r="E189" s="156">
        <v>102.0</v>
      </c>
      <c r="F189" s="156">
        <v>3.0</v>
      </c>
      <c r="G189" s="156">
        <v>306.0</v>
      </c>
      <c r="H189" s="157">
        <v>306.0</v>
      </c>
      <c r="I189" s="156">
        <v>231.04</v>
      </c>
      <c r="J189" s="158">
        <v>308.22</v>
      </c>
      <c r="K189" s="156">
        <v>173.82</v>
      </c>
      <c r="L189" s="156">
        <v>0.09</v>
      </c>
    </row>
    <row r="190">
      <c r="A190" s="154"/>
      <c r="B190" s="155" t="s">
        <v>354</v>
      </c>
      <c r="C190" s="155" t="s">
        <v>409</v>
      </c>
      <c r="D190" s="156">
        <v>18.0</v>
      </c>
      <c r="E190" s="156">
        <v>15.0</v>
      </c>
      <c r="F190" s="156">
        <v>3.0</v>
      </c>
      <c r="G190" s="156">
        <v>54.0</v>
      </c>
      <c r="H190" s="157">
        <v>45.0</v>
      </c>
      <c r="I190" s="156">
        <v>35.41</v>
      </c>
      <c r="J190" s="158">
        <v>369.24</v>
      </c>
      <c r="K190" s="156">
        <v>32.07</v>
      </c>
      <c r="L190" s="156">
        <v>0.01</v>
      </c>
    </row>
    <row r="191">
      <c r="A191" s="154"/>
      <c r="B191" s="155" t="s">
        <v>354</v>
      </c>
      <c r="C191" s="155" t="s">
        <v>410</v>
      </c>
      <c r="D191" s="156">
        <v>62.5</v>
      </c>
      <c r="E191" s="156">
        <v>62.5</v>
      </c>
      <c r="F191" s="156">
        <v>2.0</v>
      </c>
      <c r="G191" s="156">
        <v>125.0</v>
      </c>
      <c r="H191" s="157">
        <v>125.0</v>
      </c>
      <c r="I191" s="156">
        <v>110.03</v>
      </c>
      <c r="J191" s="158">
        <v>735.0</v>
      </c>
      <c r="K191" s="156">
        <v>100.77</v>
      </c>
      <c r="L191" s="156">
        <v>0.04</v>
      </c>
    </row>
    <row r="192">
      <c r="A192" s="154"/>
      <c r="B192" s="155" t="s">
        <v>354</v>
      </c>
      <c r="C192" s="155" t="s">
        <v>411</v>
      </c>
      <c r="D192" s="156">
        <v>0.0</v>
      </c>
      <c r="E192" s="156">
        <v>0.0</v>
      </c>
      <c r="F192" s="156">
        <v>1.0</v>
      </c>
      <c r="G192" s="156">
        <v>0.0</v>
      </c>
      <c r="H192" s="157">
        <v>0.0</v>
      </c>
      <c r="I192" s="156">
        <v>-3.66</v>
      </c>
      <c r="J192" s="158">
        <v>-100.0</v>
      </c>
      <c r="K192" s="156">
        <v>-3.66</v>
      </c>
      <c r="L192" s="156">
        <v>0.0</v>
      </c>
    </row>
    <row r="193">
      <c r="A193" s="154"/>
      <c r="B193" s="155" t="s">
        <v>354</v>
      </c>
      <c r="C193" s="155" t="s">
        <v>412</v>
      </c>
      <c r="D193" s="156">
        <v>3.0</v>
      </c>
      <c r="E193" s="156">
        <v>3.0</v>
      </c>
      <c r="F193" s="156">
        <v>1.0</v>
      </c>
      <c r="G193" s="156">
        <v>3.0</v>
      </c>
      <c r="H193" s="157">
        <v>3.0</v>
      </c>
      <c r="I193" s="156">
        <v>2.61</v>
      </c>
      <c r="J193" s="158">
        <v>669.23</v>
      </c>
      <c r="K193" s="156">
        <v>2.39</v>
      </c>
      <c r="L193" s="156">
        <v>0.0</v>
      </c>
    </row>
    <row r="194">
      <c r="A194" s="154"/>
      <c r="B194" s="155" t="s">
        <v>354</v>
      </c>
      <c r="C194" s="155" t="s">
        <v>413</v>
      </c>
      <c r="D194" s="156">
        <v>9.5</v>
      </c>
      <c r="E194" s="156">
        <v>9.5</v>
      </c>
      <c r="F194" s="156">
        <v>1.0</v>
      </c>
      <c r="G194" s="156">
        <v>9.5</v>
      </c>
      <c r="H194" s="157">
        <v>9.5</v>
      </c>
      <c r="I194" s="156">
        <v>6.24</v>
      </c>
      <c r="J194" s="158">
        <v>191.41</v>
      </c>
      <c r="K194" s="156">
        <v>5.54</v>
      </c>
      <c r="L194" s="156">
        <v>0.0</v>
      </c>
    </row>
    <row r="195">
      <c r="A195" s="154"/>
      <c r="B195" s="155" t="s">
        <v>354</v>
      </c>
      <c r="C195" s="155" t="s">
        <v>414</v>
      </c>
      <c r="D195" s="156">
        <v>3.0</v>
      </c>
      <c r="E195" s="156">
        <v>3.0</v>
      </c>
      <c r="F195" s="156">
        <v>1.0</v>
      </c>
      <c r="G195" s="156">
        <v>3.0</v>
      </c>
      <c r="H195" s="157">
        <v>3.0</v>
      </c>
      <c r="I195" s="156">
        <v>3.0</v>
      </c>
      <c r="J195" s="158">
        <v>0.0</v>
      </c>
      <c r="K195" s="156">
        <v>2.78</v>
      </c>
      <c r="L195" s="156">
        <v>0.0</v>
      </c>
    </row>
    <row r="196">
      <c r="A196" s="154"/>
      <c r="B196" s="155" t="s">
        <v>354</v>
      </c>
      <c r="C196" s="155" t="s">
        <v>415</v>
      </c>
      <c r="D196" s="156">
        <v>15.0</v>
      </c>
      <c r="E196" s="156">
        <v>15.0</v>
      </c>
      <c r="F196" s="156">
        <v>1.0</v>
      </c>
      <c r="G196" s="156">
        <v>15.0</v>
      </c>
      <c r="H196" s="157">
        <v>15.0</v>
      </c>
      <c r="I196" s="156">
        <v>12.54</v>
      </c>
      <c r="J196" s="158">
        <v>509.76</v>
      </c>
      <c r="K196" s="156">
        <v>11.43</v>
      </c>
      <c r="L196" s="156">
        <v>0.0</v>
      </c>
    </row>
    <row r="197">
      <c r="A197" s="154"/>
      <c r="B197" s="155" t="s">
        <v>354</v>
      </c>
      <c r="C197" s="155" t="s">
        <v>416</v>
      </c>
      <c r="D197" s="156">
        <v>24.0</v>
      </c>
      <c r="E197" s="156">
        <v>20.4</v>
      </c>
      <c r="F197" s="156">
        <v>1.0</v>
      </c>
      <c r="G197" s="156">
        <v>24.0</v>
      </c>
      <c r="H197" s="157">
        <v>20.4</v>
      </c>
      <c r="I197" s="156">
        <v>17.79</v>
      </c>
      <c r="J197" s="158">
        <v>681.61</v>
      </c>
      <c r="K197" s="156">
        <v>16.28</v>
      </c>
      <c r="L197" s="156">
        <v>0.01</v>
      </c>
    </row>
    <row r="198">
      <c r="A198" s="154"/>
      <c r="B198" s="155" t="s">
        <v>417</v>
      </c>
      <c r="C198" s="155" t="s">
        <v>418</v>
      </c>
      <c r="D198" s="156">
        <v>46.0</v>
      </c>
      <c r="E198" s="156">
        <v>45.09</v>
      </c>
      <c r="F198" s="156">
        <v>126.0</v>
      </c>
      <c r="G198" s="156">
        <v>5796.0</v>
      </c>
      <c r="H198" s="157">
        <v>5681.0</v>
      </c>
      <c r="I198" s="156">
        <v>4289.79</v>
      </c>
      <c r="J198" s="158">
        <v>308.35</v>
      </c>
      <c r="K198" s="156">
        <v>3869.0</v>
      </c>
      <c r="L198" s="156">
        <v>1.69</v>
      </c>
    </row>
    <row r="199">
      <c r="A199" s="154"/>
      <c r="B199" s="155" t="s">
        <v>417</v>
      </c>
      <c r="C199" s="155" t="s">
        <v>419</v>
      </c>
      <c r="D199" s="156">
        <v>36.0</v>
      </c>
      <c r="E199" s="156">
        <v>35.4</v>
      </c>
      <c r="F199" s="156">
        <v>121.0</v>
      </c>
      <c r="G199" s="156">
        <v>4356.0</v>
      </c>
      <c r="H199" s="157">
        <v>4284.0</v>
      </c>
      <c r="I199" s="156">
        <v>3194.25</v>
      </c>
      <c r="J199" s="158">
        <v>293.12</v>
      </c>
      <c r="K199" s="156">
        <v>2876.91</v>
      </c>
      <c r="L199" s="156">
        <v>1.28</v>
      </c>
    </row>
    <row r="200">
      <c r="A200" s="154"/>
      <c r="B200" s="155" t="s">
        <v>417</v>
      </c>
      <c r="C200" s="155" t="s">
        <v>420</v>
      </c>
      <c r="D200" s="156">
        <v>30.0</v>
      </c>
      <c r="E200" s="156">
        <v>29.58</v>
      </c>
      <c r="F200" s="156">
        <v>106.0</v>
      </c>
      <c r="G200" s="156">
        <v>3180.0</v>
      </c>
      <c r="H200" s="157">
        <v>3135.0</v>
      </c>
      <c r="I200" s="156">
        <v>2400.11</v>
      </c>
      <c r="J200" s="158">
        <v>326.59</v>
      </c>
      <c r="K200" s="156">
        <v>2167.9</v>
      </c>
      <c r="L200" s="156">
        <v>0.94</v>
      </c>
    </row>
    <row r="201">
      <c r="A201" s="154"/>
      <c r="B201" s="155" t="s">
        <v>417</v>
      </c>
      <c r="C201" s="155" t="s">
        <v>421</v>
      </c>
      <c r="D201" s="156">
        <v>40.0</v>
      </c>
      <c r="E201" s="156">
        <v>39.62</v>
      </c>
      <c r="F201" s="156">
        <v>105.0</v>
      </c>
      <c r="G201" s="156">
        <v>4200.0</v>
      </c>
      <c r="H201" s="157">
        <v>4160.0</v>
      </c>
      <c r="I201" s="156">
        <v>3173.49</v>
      </c>
      <c r="J201" s="158">
        <v>321.69</v>
      </c>
      <c r="K201" s="156">
        <v>2865.33</v>
      </c>
      <c r="L201" s="156">
        <v>1.24</v>
      </c>
    </row>
    <row r="202">
      <c r="A202" s="154"/>
      <c r="B202" s="155" t="s">
        <v>417</v>
      </c>
      <c r="C202" s="155" t="s">
        <v>422</v>
      </c>
      <c r="D202" s="156">
        <v>54.0</v>
      </c>
      <c r="E202" s="156">
        <v>51.39</v>
      </c>
      <c r="F202" s="156">
        <v>93.0</v>
      </c>
      <c r="G202" s="156">
        <v>5022.0</v>
      </c>
      <c r="H202" s="157">
        <v>4779.0</v>
      </c>
      <c r="I202" s="156">
        <v>3327.86</v>
      </c>
      <c r="J202" s="158">
        <v>229.33</v>
      </c>
      <c r="K202" s="156">
        <v>2973.86</v>
      </c>
      <c r="L202" s="156">
        <v>1.43</v>
      </c>
    </row>
    <row r="203">
      <c r="A203" s="154"/>
      <c r="B203" s="155" t="s">
        <v>417</v>
      </c>
      <c r="C203" s="155" t="s">
        <v>423</v>
      </c>
      <c r="D203" s="156">
        <v>28.0</v>
      </c>
      <c r="E203" s="156">
        <v>27.44</v>
      </c>
      <c r="F203" s="156">
        <v>75.0</v>
      </c>
      <c r="G203" s="156">
        <v>2100.0</v>
      </c>
      <c r="H203" s="157">
        <v>2058.0</v>
      </c>
      <c r="I203" s="156">
        <v>1601.43</v>
      </c>
      <c r="J203" s="158">
        <v>350.75</v>
      </c>
      <c r="K203" s="156">
        <v>1449.01</v>
      </c>
      <c r="L203" s="156">
        <v>0.61</v>
      </c>
    </row>
    <row r="204">
      <c r="A204" s="154"/>
      <c r="B204" s="155" t="s">
        <v>417</v>
      </c>
      <c r="C204" s="155" t="s">
        <v>424</v>
      </c>
      <c r="D204" s="156">
        <v>42.0</v>
      </c>
      <c r="E204" s="156">
        <v>40.97</v>
      </c>
      <c r="F204" s="156">
        <v>61.0</v>
      </c>
      <c r="G204" s="156">
        <v>2562.0</v>
      </c>
      <c r="H204" s="157">
        <v>2499.0</v>
      </c>
      <c r="I204" s="156">
        <v>1871.64</v>
      </c>
      <c r="J204" s="158">
        <v>298.34</v>
      </c>
      <c r="K204" s="156">
        <v>1686.56</v>
      </c>
      <c r="L204" s="156">
        <v>0.75</v>
      </c>
    </row>
    <row r="205">
      <c r="A205" s="154"/>
      <c r="B205" s="155" t="s">
        <v>417</v>
      </c>
      <c r="C205" s="155" t="s">
        <v>425</v>
      </c>
      <c r="D205" s="156">
        <v>40.0</v>
      </c>
      <c r="E205" s="156">
        <v>39.6</v>
      </c>
      <c r="F205" s="156">
        <v>50.0</v>
      </c>
      <c r="G205" s="156">
        <v>2000.0</v>
      </c>
      <c r="H205" s="157">
        <v>1980.0</v>
      </c>
      <c r="I205" s="156">
        <v>1434.77</v>
      </c>
      <c r="J205" s="158">
        <v>263.15</v>
      </c>
      <c r="K205" s="156">
        <v>1288.12</v>
      </c>
      <c r="L205" s="156">
        <v>0.59</v>
      </c>
    </row>
    <row r="206">
      <c r="A206" s="154"/>
      <c r="B206" s="155" t="s">
        <v>417</v>
      </c>
      <c r="C206" s="155" t="s">
        <v>426</v>
      </c>
      <c r="D206" s="156">
        <v>37.0</v>
      </c>
      <c r="E206" s="156">
        <v>37.0</v>
      </c>
      <c r="F206" s="156">
        <v>41.0</v>
      </c>
      <c r="G206" s="156">
        <v>1517.0</v>
      </c>
      <c r="H206" s="157">
        <v>1517.0</v>
      </c>
      <c r="I206" s="156">
        <v>1128.04</v>
      </c>
      <c r="J206" s="158">
        <v>290.01</v>
      </c>
      <c r="K206" s="156">
        <v>1015.69</v>
      </c>
      <c r="L206" s="156">
        <v>0.45</v>
      </c>
    </row>
    <row r="207">
      <c r="A207" s="154"/>
      <c r="B207" s="155" t="s">
        <v>417</v>
      </c>
      <c r="C207" s="155" t="s">
        <v>427</v>
      </c>
      <c r="D207" s="156">
        <v>27.0</v>
      </c>
      <c r="E207" s="156">
        <v>26.1</v>
      </c>
      <c r="F207" s="156">
        <v>30.0</v>
      </c>
      <c r="G207" s="156">
        <v>810.0</v>
      </c>
      <c r="H207" s="157">
        <v>783.0</v>
      </c>
      <c r="I207" s="156">
        <v>595.26</v>
      </c>
      <c r="J207" s="158">
        <v>317.07</v>
      </c>
      <c r="K207" s="156">
        <v>537.26</v>
      </c>
      <c r="L207" s="156">
        <v>0.23</v>
      </c>
    </row>
    <row r="208">
      <c r="A208" s="154"/>
      <c r="B208" s="155" t="s">
        <v>417</v>
      </c>
      <c r="C208" s="155" t="s">
        <v>428</v>
      </c>
      <c r="D208" s="156">
        <v>39.0</v>
      </c>
      <c r="E208" s="156">
        <v>37.05</v>
      </c>
      <c r="F208" s="156">
        <v>10.0</v>
      </c>
      <c r="G208" s="156">
        <v>390.0</v>
      </c>
      <c r="H208" s="157">
        <v>370.5</v>
      </c>
      <c r="I208" s="156">
        <v>284.19</v>
      </c>
      <c r="J208" s="158">
        <v>329.27</v>
      </c>
      <c r="K208" s="156">
        <v>256.74</v>
      </c>
      <c r="L208" s="156">
        <v>0.11</v>
      </c>
    </row>
    <row r="209">
      <c r="A209" s="154"/>
      <c r="B209" s="155" t="s">
        <v>417</v>
      </c>
      <c r="C209" s="155" t="s">
        <v>429</v>
      </c>
      <c r="D209" s="156">
        <v>39.0</v>
      </c>
      <c r="E209" s="156">
        <v>39.0</v>
      </c>
      <c r="F209" s="156">
        <v>5.0</v>
      </c>
      <c r="G209" s="156">
        <v>195.0</v>
      </c>
      <c r="H209" s="157">
        <v>195.0</v>
      </c>
      <c r="I209" s="156">
        <v>151.75</v>
      </c>
      <c r="J209" s="158">
        <v>350.87</v>
      </c>
      <c r="K209" s="156">
        <v>140.19</v>
      </c>
      <c r="L209" s="156">
        <v>0.06</v>
      </c>
    </row>
    <row r="210">
      <c r="A210" s="154"/>
      <c r="B210" s="155" t="s">
        <v>430</v>
      </c>
      <c r="C210" s="155" t="s">
        <v>431</v>
      </c>
      <c r="D210" s="156">
        <v>3.5</v>
      </c>
      <c r="E210" s="156">
        <v>3.5</v>
      </c>
      <c r="F210" s="156">
        <v>1.0</v>
      </c>
      <c r="G210" s="156">
        <v>3.5</v>
      </c>
      <c r="H210" s="157">
        <v>3.5</v>
      </c>
      <c r="I210" s="156">
        <v>2.46</v>
      </c>
      <c r="J210" s="158">
        <v>236.54</v>
      </c>
      <c r="K210" s="156">
        <v>1.81</v>
      </c>
      <c r="L210" s="156">
        <v>0.0</v>
      </c>
    </row>
    <row r="211">
      <c r="A211" s="154"/>
      <c r="B211" s="155" t="s">
        <v>430</v>
      </c>
      <c r="C211" s="155" t="s">
        <v>432</v>
      </c>
      <c r="D211" s="156">
        <v>4.5</v>
      </c>
      <c r="E211" s="156">
        <v>4.5</v>
      </c>
      <c r="F211" s="156">
        <v>1.0</v>
      </c>
      <c r="G211" s="156">
        <v>4.5</v>
      </c>
      <c r="H211" s="157">
        <v>4.5</v>
      </c>
      <c r="I211" s="156">
        <v>2.62</v>
      </c>
      <c r="J211" s="158">
        <v>139.36</v>
      </c>
      <c r="K211" s="156">
        <v>1.78</v>
      </c>
      <c r="L211" s="156">
        <v>0.0</v>
      </c>
    </row>
    <row r="212">
      <c r="A212" s="154"/>
      <c r="B212" s="155" t="s">
        <v>433</v>
      </c>
      <c r="C212" s="155" t="s">
        <v>434</v>
      </c>
      <c r="D212" s="156">
        <v>88.26</v>
      </c>
      <c r="E212" s="156">
        <v>88.26</v>
      </c>
      <c r="F212" s="156">
        <v>32.0</v>
      </c>
      <c r="G212" s="156">
        <v>2824.3</v>
      </c>
      <c r="H212" s="157">
        <v>2824.3</v>
      </c>
      <c r="I212" s="156">
        <v>2824.3</v>
      </c>
      <c r="J212" s="158">
        <v>0.0</v>
      </c>
      <c r="K212" s="156">
        <v>2615.08</v>
      </c>
      <c r="L212" s="156">
        <v>0.84</v>
      </c>
    </row>
    <row r="213">
      <c r="A213" s="154"/>
      <c r="B213" s="155" t="s">
        <v>433</v>
      </c>
      <c r="C213" s="155" t="s">
        <v>435</v>
      </c>
      <c r="D213" s="156">
        <v>1188.0</v>
      </c>
      <c r="E213" s="156">
        <v>1188.0</v>
      </c>
      <c r="F213" s="156">
        <v>1.0</v>
      </c>
      <c r="G213" s="156">
        <v>1188.0</v>
      </c>
      <c r="H213" s="157">
        <v>1188.0</v>
      </c>
      <c r="I213" s="156">
        <v>1188.0</v>
      </c>
      <c r="J213" s="158">
        <v>0.0</v>
      </c>
      <c r="K213" s="156">
        <v>1100.01</v>
      </c>
      <c r="L213" s="156">
        <v>0.35</v>
      </c>
    </row>
    <row r="214">
      <c r="A214" s="154"/>
      <c r="B214" s="163" t="s">
        <v>433</v>
      </c>
      <c r="C214" s="163" t="s">
        <v>436</v>
      </c>
      <c r="D214" s="164">
        <v>200.0</v>
      </c>
      <c r="E214" s="164">
        <v>200.0</v>
      </c>
      <c r="F214" s="164">
        <v>1.0</v>
      </c>
      <c r="G214" s="164">
        <v>200.0</v>
      </c>
      <c r="H214" s="160">
        <v>200.0</v>
      </c>
      <c r="I214" s="164">
        <v>200.0</v>
      </c>
      <c r="J214" s="165">
        <v>0.0</v>
      </c>
      <c r="K214" s="164">
        <v>185.19</v>
      </c>
      <c r="L214" s="164">
        <v>0.06</v>
      </c>
    </row>
    <row r="215">
      <c r="A215" s="166"/>
      <c r="B215" s="167"/>
      <c r="C215" s="168" t="s">
        <v>437</v>
      </c>
      <c r="D215" s="168">
        <v>48.53</v>
      </c>
      <c r="E215" s="168">
        <v>47.98</v>
      </c>
      <c r="F215" s="168">
        <v>9427.998</v>
      </c>
      <c r="G215" s="168">
        <v>344935.28</v>
      </c>
      <c r="H215" s="168">
        <v>335231.35</v>
      </c>
      <c r="I215" s="168">
        <v>256013.45</v>
      </c>
      <c r="J215" s="168">
        <v>323.18</v>
      </c>
      <c r="K215" s="168">
        <v>219410.0</v>
      </c>
      <c r="L215" s="167"/>
    </row>
    <row r="216">
      <c r="D216" s="64"/>
    </row>
    <row r="217">
      <c r="D217" s="64"/>
    </row>
    <row r="218">
      <c r="D218" s="64"/>
    </row>
    <row r="219">
      <c r="D219" s="64"/>
    </row>
    <row r="220">
      <c r="D220" s="64"/>
    </row>
    <row r="221">
      <c r="D221" s="64"/>
    </row>
    <row r="222">
      <c r="D222" s="64"/>
    </row>
    <row r="223">
      <c r="D223" s="64"/>
    </row>
    <row r="224">
      <c r="D224" s="64"/>
    </row>
    <row r="225">
      <c r="D225" s="64"/>
    </row>
    <row r="226">
      <c r="D226" s="64"/>
    </row>
    <row r="227">
      <c r="D227" s="64"/>
    </row>
    <row r="228">
      <c r="D228" s="64"/>
    </row>
    <row r="229">
      <c r="D229" s="64"/>
    </row>
    <row r="230">
      <c r="D230" s="64"/>
    </row>
    <row r="231">
      <c r="D231" s="64"/>
    </row>
    <row r="232">
      <c r="D232" s="64"/>
    </row>
    <row r="233">
      <c r="D233" s="64"/>
    </row>
    <row r="234">
      <c r="D234" s="64"/>
    </row>
    <row r="235">
      <c r="D235" s="64"/>
    </row>
    <row r="236">
      <c r="D236" s="64"/>
    </row>
    <row r="237">
      <c r="D237" s="64"/>
    </row>
    <row r="238">
      <c r="D238" s="64"/>
    </row>
    <row r="239">
      <c r="D239" s="64"/>
    </row>
    <row r="240">
      <c r="D240" s="64"/>
    </row>
    <row r="241">
      <c r="D241" s="64"/>
    </row>
    <row r="242">
      <c r="D242" s="64"/>
    </row>
    <row r="243">
      <c r="D243" s="64"/>
    </row>
    <row r="244">
      <c r="D244" s="64"/>
    </row>
    <row r="245">
      <c r="D245" s="64"/>
    </row>
    <row r="246">
      <c r="D246" s="64"/>
    </row>
    <row r="247">
      <c r="D247" s="64"/>
    </row>
    <row r="248">
      <c r="D248" s="64"/>
    </row>
    <row r="249">
      <c r="D249" s="64"/>
    </row>
    <row r="250">
      <c r="D250" s="64"/>
    </row>
    <row r="251">
      <c r="D251" s="64"/>
    </row>
    <row r="252">
      <c r="D252" s="64"/>
    </row>
    <row r="253">
      <c r="D253" s="64"/>
    </row>
    <row r="254">
      <c r="D254" s="64"/>
    </row>
    <row r="255">
      <c r="D255" s="64"/>
    </row>
    <row r="256">
      <c r="D256" s="64"/>
    </row>
    <row r="257">
      <c r="D257" s="64"/>
    </row>
    <row r="258">
      <c r="D258" s="64"/>
    </row>
    <row r="259">
      <c r="D259" s="64"/>
    </row>
    <row r="260">
      <c r="D260" s="64"/>
    </row>
    <row r="261">
      <c r="D261" s="64"/>
    </row>
    <row r="262">
      <c r="D262" s="64"/>
    </row>
    <row r="263">
      <c r="D263" s="64"/>
    </row>
    <row r="264">
      <c r="D264" s="64"/>
    </row>
    <row r="265">
      <c r="D265" s="64"/>
    </row>
    <row r="266">
      <c r="D266" s="64"/>
    </row>
    <row r="267">
      <c r="D267" s="64"/>
    </row>
    <row r="268">
      <c r="D268" s="64"/>
    </row>
    <row r="269">
      <c r="D269" s="64"/>
    </row>
    <row r="270">
      <c r="D270" s="64"/>
    </row>
    <row r="271">
      <c r="D271" s="64"/>
    </row>
    <row r="272">
      <c r="D272" s="64"/>
    </row>
    <row r="273">
      <c r="D273" s="64"/>
    </row>
    <row r="274">
      <c r="D274" s="64"/>
    </row>
    <row r="275">
      <c r="D275" s="64"/>
    </row>
    <row r="276">
      <c r="D276" s="64"/>
    </row>
    <row r="277">
      <c r="D277" s="64"/>
    </row>
    <row r="278">
      <c r="D278" s="64"/>
    </row>
    <row r="279">
      <c r="D279" s="64"/>
    </row>
    <row r="280">
      <c r="D280" s="64"/>
    </row>
    <row r="281">
      <c r="D281" s="64"/>
    </row>
    <row r="282">
      <c r="D282" s="64"/>
    </row>
    <row r="283">
      <c r="D283" s="64"/>
    </row>
    <row r="284">
      <c r="D284" s="64"/>
    </row>
    <row r="285">
      <c r="D285" s="64"/>
    </row>
    <row r="286">
      <c r="D286" s="64"/>
    </row>
    <row r="287">
      <c r="D287" s="64"/>
    </row>
    <row r="288">
      <c r="D288" s="64"/>
    </row>
    <row r="289">
      <c r="D289" s="64"/>
    </row>
    <row r="290">
      <c r="D290" s="64"/>
    </row>
    <row r="291">
      <c r="D291" s="64"/>
    </row>
    <row r="292">
      <c r="D292" s="64"/>
    </row>
    <row r="293">
      <c r="D293" s="64"/>
    </row>
    <row r="294">
      <c r="D294" s="64"/>
    </row>
    <row r="295">
      <c r="D295" s="64"/>
    </row>
    <row r="296">
      <c r="D296" s="64"/>
    </row>
    <row r="297">
      <c r="D297" s="64"/>
    </row>
    <row r="298">
      <c r="D298" s="64"/>
    </row>
    <row r="299">
      <c r="D299" s="64"/>
    </row>
    <row r="300">
      <c r="D300" s="64"/>
    </row>
    <row r="301">
      <c r="D301" s="64"/>
    </row>
    <row r="302">
      <c r="D302" s="64"/>
    </row>
    <row r="303">
      <c r="D303" s="64"/>
    </row>
    <row r="304">
      <c r="D304" s="64"/>
    </row>
    <row r="305">
      <c r="D305" s="64"/>
    </row>
    <row r="306">
      <c r="D306" s="64"/>
    </row>
    <row r="307">
      <c r="D307" s="64"/>
    </row>
    <row r="308">
      <c r="D308" s="64"/>
    </row>
    <row r="309">
      <c r="D309" s="64"/>
    </row>
    <row r="310">
      <c r="D310" s="64"/>
    </row>
    <row r="311">
      <c r="D311" s="64"/>
    </row>
    <row r="312">
      <c r="D312" s="64"/>
    </row>
    <row r="313">
      <c r="D313" s="64"/>
    </row>
    <row r="314">
      <c r="D314" s="64"/>
    </row>
    <row r="315">
      <c r="D315" s="64"/>
    </row>
    <row r="316">
      <c r="D316" s="64"/>
    </row>
    <row r="317">
      <c r="D317" s="64"/>
    </row>
    <row r="318">
      <c r="D318" s="64"/>
    </row>
    <row r="319">
      <c r="D319" s="64"/>
    </row>
    <row r="320">
      <c r="D320" s="64"/>
    </row>
    <row r="321">
      <c r="D321" s="64"/>
    </row>
    <row r="322">
      <c r="D322" s="64"/>
    </row>
    <row r="323">
      <c r="D323" s="64"/>
    </row>
    <row r="324">
      <c r="D324" s="64"/>
    </row>
    <row r="325">
      <c r="D325" s="64"/>
    </row>
    <row r="326">
      <c r="D326" s="64"/>
    </row>
    <row r="327">
      <c r="D327" s="64"/>
    </row>
    <row r="328">
      <c r="D328" s="64"/>
    </row>
    <row r="329">
      <c r="D329" s="64"/>
    </row>
    <row r="330">
      <c r="D330" s="64"/>
    </row>
    <row r="331">
      <c r="D331" s="64"/>
    </row>
    <row r="332">
      <c r="D332" s="64"/>
    </row>
    <row r="333">
      <c r="D333" s="64"/>
    </row>
    <row r="334">
      <c r="D334" s="64"/>
    </row>
    <row r="335">
      <c r="D335" s="64"/>
    </row>
    <row r="336">
      <c r="D336" s="64"/>
    </row>
    <row r="337">
      <c r="D337" s="64"/>
    </row>
    <row r="338">
      <c r="D338" s="64"/>
    </row>
    <row r="339">
      <c r="D339" s="64"/>
    </row>
    <row r="340">
      <c r="D340" s="64"/>
    </row>
    <row r="341">
      <c r="D341" s="64"/>
    </row>
    <row r="342">
      <c r="D342" s="64"/>
    </row>
    <row r="343">
      <c r="D343" s="64"/>
    </row>
    <row r="344">
      <c r="D344" s="64"/>
    </row>
    <row r="345">
      <c r="D345" s="64"/>
    </row>
    <row r="346">
      <c r="D346" s="64"/>
    </row>
    <row r="347">
      <c r="D347" s="64"/>
    </row>
    <row r="348">
      <c r="D348" s="64"/>
    </row>
    <row r="349">
      <c r="D349" s="64"/>
    </row>
    <row r="350">
      <c r="D350" s="64"/>
    </row>
    <row r="351">
      <c r="D351" s="64"/>
    </row>
    <row r="352">
      <c r="D352" s="64"/>
    </row>
    <row r="353">
      <c r="D353" s="64"/>
    </row>
    <row r="354">
      <c r="D354" s="64"/>
    </row>
    <row r="355">
      <c r="D355" s="64"/>
    </row>
    <row r="356">
      <c r="D356" s="64"/>
    </row>
    <row r="357">
      <c r="D357" s="64"/>
    </row>
    <row r="358">
      <c r="D358" s="64"/>
    </row>
    <row r="359">
      <c r="D359" s="64"/>
    </row>
    <row r="360">
      <c r="D360" s="64"/>
    </row>
    <row r="361">
      <c r="D361" s="64"/>
    </row>
    <row r="362">
      <c r="D362" s="64"/>
    </row>
    <row r="363">
      <c r="D363" s="64"/>
    </row>
    <row r="364">
      <c r="D364" s="64"/>
    </row>
    <row r="365">
      <c r="D365" s="64"/>
    </row>
    <row r="366">
      <c r="D366" s="64"/>
    </row>
    <row r="367">
      <c r="D367" s="64"/>
    </row>
    <row r="368">
      <c r="D368" s="64"/>
    </row>
    <row r="369">
      <c r="D369" s="64"/>
    </row>
    <row r="370">
      <c r="D370" s="64"/>
    </row>
    <row r="371">
      <c r="D371" s="64"/>
    </row>
    <row r="372">
      <c r="D372" s="64"/>
    </row>
    <row r="373">
      <c r="D373" s="64"/>
    </row>
    <row r="374">
      <c r="D374" s="64"/>
    </row>
    <row r="375">
      <c r="D375" s="64"/>
    </row>
    <row r="376">
      <c r="D376" s="64"/>
    </row>
    <row r="377">
      <c r="D377" s="64"/>
    </row>
    <row r="378">
      <c r="D378" s="64"/>
    </row>
    <row r="379">
      <c r="D379" s="64"/>
    </row>
    <row r="380">
      <c r="D380" s="64"/>
    </row>
    <row r="381">
      <c r="D381" s="64"/>
    </row>
    <row r="382">
      <c r="D382" s="64"/>
    </row>
    <row r="383">
      <c r="D383" s="64"/>
    </row>
    <row r="384">
      <c r="D384" s="64"/>
    </row>
    <row r="385">
      <c r="D385" s="64"/>
    </row>
    <row r="386">
      <c r="D386" s="64"/>
    </row>
    <row r="387">
      <c r="D387" s="64"/>
    </row>
    <row r="388">
      <c r="D388" s="64"/>
    </row>
    <row r="389">
      <c r="D389" s="64"/>
    </row>
    <row r="390">
      <c r="D390" s="64"/>
    </row>
    <row r="391">
      <c r="D391" s="64"/>
    </row>
    <row r="392">
      <c r="D392" s="64"/>
    </row>
    <row r="393">
      <c r="D393" s="64"/>
    </row>
    <row r="394">
      <c r="D394" s="64"/>
    </row>
    <row r="395">
      <c r="D395" s="64"/>
    </row>
    <row r="396">
      <c r="D396" s="64"/>
    </row>
    <row r="397">
      <c r="D397" s="64"/>
    </row>
    <row r="398">
      <c r="D398" s="64"/>
    </row>
    <row r="399">
      <c r="D399" s="64"/>
    </row>
    <row r="400">
      <c r="D400" s="64"/>
    </row>
    <row r="401">
      <c r="D401" s="64"/>
    </row>
    <row r="402">
      <c r="D402" s="64"/>
    </row>
    <row r="403">
      <c r="D403" s="64"/>
    </row>
    <row r="404">
      <c r="D404" s="64"/>
    </row>
    <row r="405">
      <c r="D405" s="64"/>
    </row>
    <row r="406">
      <c r="D406" s="64"/>
    </row>
    <row r="407">
      <c r="D407" s="64"/>
    </row>
    <row r="408">
      <c r="D408" s="64"/>
    </row>
    <row r="409">
      <c r="D409" s="64"/>
    </row>
    <row r="410">
      <c r="D410" s="64"/>
    </row>
    <row r="411">
      <c r="D411" s="64"/>
    </row>
    <row r="412">
      <c r="D412" s="64"/>
    </row>
    <row r="413">
      <c r="D413" s="64"/>
    </row>
    <row r="414">
      <c r="D414" s="64"/>
    </row>
    <row r="415">
      <c r="D415" s="64"/>
    </row>
    <row r="416">
      <c r="D416" s="64"/>
    </row>
    <row r="417">
      <c r="D417" s="64"/>
    </row>
    <row r="418">
      <c r="D418" s="64"/>
    </row>
    <row r="419">
      <c r="D419" s="64"/>
    </row>
    <row r="420">
      <c r="D420" s="64"/>
    </row>
    <row r="421">
      <c r="D421" s="64"/>
    </row>
    <row r="422">
      <c r="D422" s="64"/>
    </row>
    <row r="423">
      <c r="D423" s="64"/>
    </row>
    <row r="424">
      <c r="D424" s="64"/>
    </row>
    <row r="425">
      <c r="D425" s="64"/>
    </row>
    <row r="426">
      <c r="D426" s="64"/>
    </row>
    <row r="427">
      <c r="D427" s="64"/>
    </row>
    <row r="428">
      <c r="D428" s="64"/>
    </row>
    <row r="429">
      <c r="D429" s="64"/>
    </row>
    <row r="430">
      <c r="D430" s="64"/>
    </row>
    <row r="431">
      <c r="D431" s="64"/>
    </row>
    <row r="432">
      <c r="D432" s="64"/>
    </row>
    <row r="433">
      <c r="D433" s="64"/>
    </row>
    <row r="434">
      <c r="D434" s="64"/>
    </row>
    <row r="435">
      <c r="D435" s="64"/>
    </row>
    <row r="436">
      <c r="D436" s="64"/>
    </row>
    <row r="437">
      <c r="D437" s="64"/>
    </row>
    <row r="438">
      <c r="D438" s="64"/>
    </row>
    <row r="439">
      <c r="D439" s="64"/>
    </row>
    <row r="440">
      <c r="D440" s="64"/>
    </row>
    <row r="441">
      <c r="D441" s="64"/>
    </row>
    <row r="442">
      <c r="D442" s="64"/>
    </row>
    <row r="443">
      <c r="D443" s="64"/>
    </row>
    <row r="444">
      <c r="D444" s="64"/>
    </row>
    <row r="445">
      <c r="D445" s="64"/>
    </row>
    <row r="446">
      <c r="D446" s="64"/>
    </row>
    <row r="447">
      <c r="D447" s="64"/>
    </row>
    <row r="448">
      <c r="D448" s="64"/>
    </row>
    <row r="449">
      <c r="D449" s="64"/>
    </row>
    <row r="450">
      <c r="D450" s="64"/>
    </row>
    <row r="451">
      <c r="D451" s="64"/>
    </row>
    <row r="452">
      <c r="D452" s="64"/>
    </row>
    <row r="453">
      <c r="D453" s="64"/>
    </row>
    <row r="454">
      <c r="D454" s="64"/>
    </row>
    <row r="455">
      <c r="D455" s="64"/>
    </row>
    <row r="456">
      <c r="D456" s="64"/>
    </row>
    <row r="457">
      <c r="D457" s="64"/>
    </row>
    <row r="458">
      <c r="D458" s="64"/>
    </row>
    <row r="459">
      <c r="D459" s="64"/>
    </row>
    <row r="460">
      <c r="D460" s="64"/>
    </row>
    <row r="461">
      <c r="D461" s="64"/>
    </row>
    <row r="462">
      <c r="D462" s="64"/>
    </row>
    <row r="463">
      <c r="D463" s="64"/>
    </row>
    <row r="464">
      <c r="D464" s="64"/>
    </row>
    <row r="465">
      <c r="D465" s="64"/>
    </row>
    <row r="466">
      <c r="D466" s="64"/>
    </row>
    <row r="467">
      <c r="D467" s="64"/>
    </row>
    <row r="468">
      <c r="D468" s="64"/>
    </row>
    <row r="469">
      <c r="D469" s="64"/>
    </row>
    <row r="470">
      <c r="D470" s="64"/>
    </row>
    <row r="471">
      <c r="D471" s="64"/>
    </row>
    <row r="472">
      <c r="D472" s="64"/>
    </row>
    <row r="473">
      <c r="D473" s="64"/>
    </row>
    <row r="474">
      <c r="D474" s="64"/>
    </row>
    <row r="475">
      <c r="D475" s="64"/>
    </row>
    <row r="476">
      <c r="D476" s="64"/>
    </row>
    <row r="477">
      <c r="D477" s="64"/>
    </row>
    <row r="478">
      <c r="D478" s="64"/>
    </row>
    <row r="479">
      <c r="D479" s="64"/>
    </row>
    <row r="480">
      <c r="D480" s="64"/>
    </row>
    <row r="481">
      <c r="D481" s="64"/>
    </row>
    <row r="482">
      <c r="D482" s="64"/>
    </row>
    <row r="483">
      <c r="D483" s="64"/>
    </row>
    <row r="484">
      <c r="D484" s="64"/>
    </row>
    <row r="485">
      <c r="D485" s="64"/>
    </row>
    <row r="486">
      <c r="D486" s="64"/>
    </row>
    <row r="487">
      <c r="D487" s="64"/>
    </row>
    <row r="488">
      <c r="D488" s="64"/>
    </row>
    <row r="489">
      <c r="D489" s="64"/>
    </row>
    <row r="490">
      <c r="D490" s="64"/>
    </row>
    <row r="491">
      <c r="D491" s="64"/>
    </row>
    <row r="492">
      <c r="D492" s="64"/>
    </row>
    <row r="493">
      <c r="D493" s="64"/>
    </row>
    <row r="494">
      <c r="D494" s="64"/>
    </row>
    <row r="495">
      <c r="D495" s="64"/>
    </row>
    <row r="496">
      <c r="D496" s="64"/>
    </row>
    <row r="497">
      <c r="D497" s="64"/>
    </row>
    <row r="498">
      <c r="D498" s="64"/>
    </row>
    <row r="499">
      <c r="D499" s="64"/>
    </row>
    <row r="500">
      <c r="D500" s="64"/>
    </row>
    <row r="501">
      <c r="D501" s="64"/>
    </row>
    <row r="502">
      <c r="D502" s="64"/>
    </row>
    <row r="503">
      <c r="D503" s="64"/>
    </row>
    <row r="504">
      <c r="D504" s="64"/>
    </row>
    <row r="505">
      <c r="D505" s="64"/>
    </row>
    <row r="506">
      <c r="D506" s="64"/>
    </row>
    <row r="507">
      <c r="D507" s="64"/>
    </row>
    <row r="508">
      <c r="D508" s="64"/>
    </row>
    <row r="509">
      <c r="D509" s="64"/>
    </row>
    <row r="510">
      <c r="D510" s="64"/>
    </row>
    <row r="511">
      <c r="D511" s="64"/>
    </row>
    <row r="512">
      <c r="D512" s="64"/>
    </row>
    <row r="513">
      <c r="D513" s="64"/>
    </row>
    <row r="514">
      <c r="D514" s="64"/>
    </row>
    <row r="515">
      <c r="D515" s="64"/>
    </row>
    <row r="516">
      <c r="D516" s="64"/>
    </row>
    <row r="517">
      <c r="D517" s="64"/>
    </row>
    <row r="518">
      <c r="D518" s="64"/>
    </row>
    <row r="519">
      <c r="D519" s="64"/>
    </row>
    <row r="520">
      <c r="D520" s="64"/>
    </row>
    <row r="521">
      <c r="D521" s="64"/>
    </row>
    <row r="522">
      <c r="D522" s="64"/>
    </row>
    <row r="523">
      <c r="D523" s="64"/>
    </row>
    <row r="524">
      <c r="D524" s="64"/>
    </row>
    <row r="525">
      <c r="D525" s="64"/>
    </row>
    <row r="526">
      <c r="D526" s="64"/>
    </row>
    <row r="527">
      <c r="D527" s="64"/>
    </row>
    <row r="528">
      <c r="D528" s="64"/>
    </row>
    <row r="529">
      <c r="D529" s="64"/>
    </row>
    <row r="530">
      <c r="D530" s="64"/>
    </row>
    <row r="531">
      <c r="D531" s="64"/>
    </row>
    <row r="532">
      <c r="D532" s="64"/>
    </row>
    <row r="533">
      <c r="D533" s="64"/>
    </row>
    <row r="534">
      <c r="D534" s="64"/>
    </row>
    <row r="535">
      <c r="D535" s="64"/>
    </row>
    <row r="536">
      <c r="D536" s="64"/>
    </row>
    <row r="537">
      <c r="D537" s="64"/>
    </row>
    <row r="538">
      <c r="D538" s="64"/>
    </row>
    <row r="539">
      <c r="D539" s="64"/>
    </row>
    <row r="540">
      <c r="D540" s="64"/>
    </row>
    <row r="541">
      <c r="D541" s="64"/>
    </row>
    <row r="542">
      <c r="D542" s="64"/>
    </row>
    <row r="543">
      <c r="D543" s="64"/>
    </row>
    <row r="544">
      <c r="D544" s="64"/>
    </row>
    <row r="545">
      <c r="D545" s="64"/>
    </row>
    <row r="546">
      <c r="D546" s="64"/>
    </row>
    <row r="547">
      <c r="D547" s="64"/>
    </row>
    <row r="548">
      <c r="D548" s="64"/>
    </row>
    <row r="549">
      <c r="D549" s="64"/>
    </row>
    <row r="550">
      <c r="D550" s="64"/>
    </row>
    <row r="551">
      <c r="D551" s="64"/>
    </row>
    <row r="552">
      <c r="D552" s="64"/>
    </row>
    <row r="553">
      <c r="D553" s="64"/>
    </row>
    <row r="554">
      <c r="D554" s="64"/>
    </row>
    <row r="555">
      <c r="D555" s="64"/>
    </row>
    <row r="556">
      <c r="D556" s="64"/>
    </row>
    <row r="557">
      <c r="D557" s="64"/>
    </row>
    <row r="558">
      <c r="D558" s="64"/>
    </row>
    <row r="559">
      <c r="D559" s="64"/>
    </row>
    <row r="560">
      <c r="D560" s="64"/>
    </row>
    <row r="561">
      <c r="D561" s="64"/>
    </row>
    <row r="562">
      <c r="D562" s="64"/>
    </row>
    <row r="563">
      <c r="D563" s="64"/>
    </row>
    <row r="564">
      <c r="D564" s="64"/>
    </row>
    <row r="565">
      <c r="D565" s="64"/>
    </row>
    <row r="566">
      <c r="D566" s="64"/>
    </row>
    <row r="567">
      <c r="D567" s="64"/>
    </row>
    <row r="568">
      <c r="D568" s="64"/>
    </row>
    <row r="569">
      <c r="D569" s="64"/>
    </row>
    <row r="570">
      <c r="D570" s="64"/>
    </row>
    <row r="571">
      <c r="D571" s="64"/>
    </row>
    <row r="572">
      <c r="D572" s="64"/>
    </row>
    <row r="573">
      <c r="D573" s="64"/>
    </row>
    <row r="574">
      <c r="D574" s="64"/>
    </row>
    <row r="575">
      <c r="D575" s="64"/>
    </row>
    <row r="576">
      <c r="D576" s="64"/>
    </row>
    <row r="577">
      <c r="D577" s="64"/>
    </row>
    <row r="578">
      <c r="D578" s="64"/>
    </row>
    <row r="579">
      <c r="D579" s="64"/>
    </row>
    <row r="580">
      <c r="D580" s="64"/>
    </row>
    <row r="581">
      <c r="D581" s="64"/>
    </row>
    <row r="582">
      <c r="D582" s="64"/>
    </row>
    <row r="583">
      <c r="D583" s="64"/>
    </row>
    <row r="584">
      <c r="D584" s="64"/>
    </row>
    <row r="585">
      <c r="D585" s="64"/>
    </row>
    <row r="586">
      <c r="D586" s="64"/>
    </row>
    <row r="587">
      <c r="D587" s="64"/>
    </row>
    <row r="588">
      <c r="D588" s="64"/>
    </row>
    <row r="589">
      <c r="D589" s="64"/>
    </row>
    <row r="590">
      <c r="D590" s="64"/>
    </row>
    <row r="591">
      <c r="D591" s="64"/>
    </row>
    <row r="592">
      <c r="D592" s="64"/>
    </row>
    <row r="593">
      <c r="D593" s="64"/>
    </row>
    <row r="594">
      <c r="D594" s="64"/>
    </row>
    <row r="595">
      <c r="D595" s="64"/>
    </row>
    <row r="596">
      <c r="D596" s="64"/>
    </row>
    <row r="597">
      <c r="D597" s="64"/>
    </row>
    <row r="598">
      <c r="D598" s="64"/>
    </row>
    <row r="599">
      <c r="D599" s="64"/>
    </row>
    <row r="600">
      <c r="D600" s="64"/>
    </row>
    <row r="601">
      <c r="D601" s="64"/>
    </row>
    <row r="602">
      <c r="D602" s="64"/>
    </row>
    <row r="603">
      <c r="D603" s="64"/>
    </row>
    <row r="604">
      <c r="D604" s="64"/>
    </row>
    <row r="605">
      <c r="D605" s="64"/>
    </row>
    <row r="606">
      <c r="D606" s="64"/>
    </row>
    <row r="607">
      <c r="D607" s="64"/>
    </row>
    <row r="608">
      <c r="D608" s="64"/>
    </row>
    <row r="609">
      <c r="D609" s="64"/>
    </row>
    <row r="610">
      <c r="D610" s="64"/>
    </row>
    <row r="611">
      <c r="D611" s="64"/>
    </row>
    <row r="612">
      <c r="D612" s="64"/>
    </row>
    <row r="613">
      <c r="D613" s="64"/>
    </row>
    <row r="614">
      <c r="D614" s="64"/>
    </row>
    <row r="615">
      <c r="D615" s="64"/>
    </row>
    <row r="616">
      <c r="D616" s="64"/>
    </row>
    <row r="617">
      <c r="D617" s="64"/>
    </row>
    <row r="618">
      <c r="D618" s="64"/>
    </row>
    <row r="619">
      <c r="D619" s="64"/>
    </row>
    <row r="620">
      <c r="D620" s="64"/>
    </row>
    <row r="621">
      <c r="D621" s="64"/>
    </row>
    <row r="622">
      <c r="D622" s="64"/>
    </row>
    <row r="623">
      <c r="D623" s="64"/>
    </row>
    <row r="624">
      <c r="D624" s="64"/>
    </row>
    <row r="625">
      <c r="D625" s="64"/>
    </row>
    <row r="626">
      <c r="D626" s="64"/>
    </row>
    <row r="627">
      <c r="D627" s="64"/>
    </row>
    <row r="628">
      <c r="D628" s="64"/>
    </row>
    <row r="629">
      <c r="D629" s="64"/>
    </row>
    <row r="630">
      <c r="D630" s="64"/>
    </row>
    <row r="631">
      <c r="D631" s="64"/>
    </row>
    <row r="632">
      <c r="D632" s="64"/>
    </row>
    <row r="633">
      <c r="D633" s="64"/>
    </row>
    <row r="634">
      <c r="D634" s="64"/>
    </row>
    <row r="635">
      <c r="D635" s="64"/>
    </row>
    <row r="636">
      <c r="D636" s="64"/>
    </row>
    <row r="637">
      <c r="D637" s="64"/>
    </row>
    <row r="638">
      <c r="D638" s="64"/>
    </row>
    <row r="639">
      <c r="D639" s="64"/>
    </row>
    <row r="640">
      <c r="D640" s="64"/>
    </row>
    <row r="641">
      <c r="D641" s="64"/>
    </row>
    <row r="642">
      <c r="D642" s="64"/>
    </row>
    <row r="643">
      <c r="D643" s="64"/>
    </row>
    <row r="644">
      <c r="D644" s="64"/>
    </row>
    <row r="645">
      <c r="D645" s="64"/>
    </row>
    <row r="646">
      <c r="D646" s="64"/>
    </row>
    <row r="647">
      <c r="D647" s="64"/>
    </row>
    <row r="648">
      <c r="D648" s="64"/>
    </row>
    <row r="649">
      <c r="D649" s="64"/>
    </row>
    <row r="650">
      <c r="D650" s="64"/>
    </row>
    <row r="651">
      <c r="D651" s="64"/>
    </row>
    <row r="652">
      <c r="D652" s="64"/>
    </row>
    <row r="653">
      <c r="D653" s="64"/>
    </row>
    <row r="654">
      <c r="D654" s="64"/>
    </row>
    <row r="655">
      <c r="D655" s="64"/>
    </row>
    <row r="656">
      <c r="D656" s="64"/>
    </row>
    <row r="657">
      <c r="D657" s="64"/>
    </row>
    <row r="658">
      <c r="D658" s="64"/>
    </row>
    <row r="659">
      <c r="D659" s="64"/>
    </row>
    <row r="660">
      <c r="D660" s="64"/>
    </row>
    <row r="661">
      <c r="D661" s="64"/>
    </row>
    <row r="662">
      <c r="D662" s="64"/>
    </row>
    <row r="663">
      <c r="D663" s="64"/>
    </row>
    <row r="664">
      <c r="D664" s="64"/>
    </row>
    <row r="665">
      <c r="D665" s="64"/>
    </row>
    <row r="666">
      <c r="D666" s="64"/>
    </row>
    <row r="667">
      <c r="D667" s="64"/>
    </row>
    <row r="668">
      <c r="D668" s="64"/>
    </row>
    <row r="669">
      <c r="D669" s="64"/>
    </row>
    <row r="670">
      <c r="D670" s="64"/>
    </row>
    <row r="671">
      <c r="D671" s="64"/>
    </row>
    <row r="672">
      <c r="D672" s="64"/>
    </row>
    <row r="673">
      <c r="D673" s="64"/>
    </row>
    <row r="674">
      <c r="D674" s="64"/>
    </row>
    <row r="675">
      <c r="D675" s="64"/>
    </row>
    <row r="676">
      <c r="D676" s="64"/>
    </row>
    <row r="677">
      <c r="D677" s="64"/>
    </row>
    <row r="678">
      <c r="D678" s="64"/>
    </row>
    <row r="679">
      <c r="D679" s="64"/>
    </row>
    <row r="680">
      <c r="D680" s="64"/>
    </row>
    <row r="681">
      <c r="D681" s="64"/>
    </row>
    <row r="682">
      <c r="D682" s="64"/>
    </row>
    <row r="683">
      <c r="D683" s="64"/>
    </row>
    <row r="684">
      <c r="D684" s="64"/>
    </row>
    <row r="685">
      <c r="D685" s="64"/>
    </row>
    <row r="686">
      <c r="D686" s="64"/>
    </row>
    <row r="687">
      <c r="D687" s="64"/>
    </row>
    <row r="688">
      <c r="D688" s="64"/>
    </row>
    <row r="689">
      <c r="D689" s="64"/>
    </row>
    <row r="690">
      <c r="D690" s="64"/>
    </row>
    <row r="691">
      <c r="D691" s="64"/>
    </row>
    <row r="692">
      <c r="D692" s="64"/>
    </row>
    <row r="693">
      <c r="D693" s="64"/>
    </row>
    <row r="694">
      <c r="D694" s="64"/>
    </row>
    <row r="695">
      <c r="D695" s="64"/>
    </row>
    <row r="696">
      <c r="D696" s="64"/>
    </row>
    <row r="697">
      <c r="D697" s="64"/>
    </row>
    <row r="698">
      <c r="D698" s="64"/>
    </row>
    <row r="699">
      <c r="D699" s="64"/>
    </row>
    <row r="700">
      <c r="D700" s="64"/>
    </row>
    <row r="701">
      <c r="D701" s="64"/>
    </row>
    <row r="702">
      <c r="D702" s="64"/>
    </row>
    <row r="703">
      <c r="D703" s="64"/>
    </row>
    <row r="704">
      <c r="D704" s="64"/>
    </row>
    <row r="705">
      <c r="D705" s="64"/>
    </row>
    <row r="706">
      <c r="D706" s="64"/>
    </row>
    <row r="707">
      <c r="D707" s="64"/>
    </row>
    <row r="708">
      <c r="D708" s="64"/>
    </row>
    <row r="709">
      <c r="D709" s="64"/>
    </row>
    <row r="710">
      <c r="D710" s="64"/>
    </row>
    <row r="711">
      <c r="D711" s="64"/>
    </row>
    <row r="712">
      <c r="D712" s="64"/>
    </row>
    <row r="713">
      <c r="D713" s="64"/>
    </row>
    <row r="714">
      <c r="D714" s="64"/>
    </row>
    <row r="715">
      <c r="D715" s="64"/>
    </row>
    <row r="716">
      <c r="D716" s="64"/>
    </row>
    <row r="717">
      <c r="D717" s="64"/>
    </row>
    <row r="718">
      <c r="D718" s="64"/>
    </row>
    <row r="719">
      <c r="D719" s="64"/>
    </row>
    <row r="720">
      <c r="D720" s="64"/>
    </row>
    <row r="721">
      <c r="D721" s="64"/>
    </row>
    <row r="722">
      <c r="D722" s="64"/>
    </row>
    <row r="723">
      <c r="D723" s="64"/>
    </row>
    <row r="724">
      <c r="D724" s="64"/>
    </row>
    <row r="725">
      <c r="D725" s="64"/>
    </row>
    <row r="726">
      <c r="D726" s="64"/>
    </row>
    <row r="727">
      <c r="D727" s="64"/>
    </row>
    <row r="728">
      <c r="D728" s="64"/>
    </row>
    <row r="729">
      <c r="D729" s="64"/>
    </row>
    <row r="730">
      <c r="D730" s="64"/>
    </row>
    <row r="731">
      <c r="D731" s="64"/>
    </row>
    <row r="732">
      <c r="D732" s="64"/>
    </row>
    <row r="733">
      <c r="D733" s="64"/>
    </row>
    <row r="734">
      <c r="D734" s="64"/>
    </row>
    <row r="735">
      <c r="D735" s="64"/>
    </row>
    <row r="736">
      <c r="D736" s="64"/>
    </row>
    <row r="737">
      <c r="D737" s="64"/>
    </row>
    <row r="738">
      <c r="D738" s="64"/>
    </row>
    <row r="739">
      <c r="D739" s="64"/>
    </row>
    <row r="740">
      <c r="D740" s="64"/>
    </row>
    <row r="741">
      <c r="D741" s="64"/>
    </row>
    <row r="742">
      <c r="D742" s="64"/>
    </row>
    <row r="743">
      <c r="D743" s="64"/>
    </row>
    <row r="744">
      <c r="D744" s="64"/>
    </row>
    <row r="745">
      <c r="D745" s="64"/>
    </row>
    <row r="746">
      <c r="D746" s="64"/>
    </row>
    <row r="747">
      <c r="D747" s="64"/>
    </row>
    <row r="748">
      <c r="D748" s="64"/>
    </row>
    <row r="749">
      <c r="D749" s="64"/>
    </row>
    <row r="750">
      <c r="D750" s="64"/>
    </row>
    <row r="751">
      <c r="D751" s="64"/>
    </row>
    <row r="752">
      <c r="D752" s="64"/>
    </row>
    <row r="753">
      <c r="D753" s="64"/>
    </row>
    <row r="754">
      <c r="D754" s="64"/>
    </row>
    <row r="755">
      <c r="D755" s="64"/>
    </row>
    <row r="756">
      <c r="D756" s="64"/>
    </row>
    <row r="757">
      <c r="D757" s="64"/>
    </row>
    <row r="758">
      <c r="D758" s="64"/>
    </row>
    <row r="759">
      <c r="D759" s="64"/>
    </row>
    <row r="760">
      <c r="D760" s="64"/>
    </row>
    <row r="761">
      <c r="D761" s="64"/>
    </row>
    <row r="762">
      <c r="D762" s="64"/>
    </row>
    <row r="763">
      <c r="D763" s="64"/>
    </row>
    <row r="764">
      <c r="D764" s="64"/>
    </row>
    <row r="765">
      <c r="D765" s="64"/>
    </row>
    <row r="766">
      <c r="D766" s="64"/>
    </row>
    <row r="767">
      <c r="D767" s="64"/>
    </row>
    <row r="768">
      <c r="D768" s="64"/>
    </row>
    <row r="769">
      <c r="D769" s="64"/>
    </row>
    <row r="770">
      <c r="D770" s="64"/>
    </row>
    <row r="771">
      <c r="D771" s="64"/>
    </row>
    <row r="772">
      <c r="D772" s="64"/>
    </row>
    <row r="773">
      <c r="D773" s="64"/>
    </row>
    <row r="774">
      <c r="D774" s="64"/>
    </row>
    <row r="775">
      <c r="D775" s="64"/>
    </row>
    <row r="776">
      <c r="D776" s="64"/>
    </row>
    <row r="777">
      <c r="D777" s="64"/>
    </row>
    <row r="778">
      <c r="D778" s="64"/>
    </row>
    <row r="779">
      <c r="D779" s="64"/>
    </row>
    <row r="780">
      <c r="D780" s="64"/>
    </row>
    <row r="781">
      <c r="D781" s="64"/>
    </row>
    <row r="782">
      <c r="D782" s="64"/>
    </row>
    <row r="783">
      <c r="D783" s="64"/>
    </row>
    <row r="784">
      <c r="D784" s="64"/>
    </row>
    <row r="785">
      <c r="D785" s="64"/>
    </row>
    <row r="786">
      <c r="D786" s="64"/>
    </row>
    <row r="787">
      <c r="D787" s="64"/>
    </row>
    <row r="788">
      <c r="D788" s="64"/>
    </row>
    <row r="789">
      <c r="D789" s="64"/>
    </row>
    <row r="790">
      <c r="D790" s="64"/>
    </row>
    <row r="791">
      <c r="D791" s="64"/>
    </row>
    <row r="792">
      <c r="D792" s="64"/>
    </row>
    <row r="793">
      <c r="D793" s="64"/>
    </row>
    <row r="794">
      <c r="D794" s="64"/>
    </row>
    <row r="795">
      <c r="D795" s="64"/>
    </row>
    <row r="796">
      <c r="D796" s="64"/>
    </row>
    <row r="797">
      <c r="D797" s="64"/>
    </row>
    <row r="798">
      <c r="D798" s="64"/>
    </row>
    <row r="799">
      <c r="D799" s="64"/>
    </row>
    <row r="800">
      <c r="D800" s="64"/>
    </row>
    <row r="801">
      <c r="D801" s="64"/>
    </row>
    <row r="802">
      <c r="D802" s="64"/>
    </row>
    <row r="803">
      <c r="D803" s="64"/>
    </row>
    <row r="804">
      <c r="D804" s="64"/>
    </row>
    <row r="805">
      <c r="D805" s="64"/>
    </row>
    <row r="806">
      <c r="D806" s="64"/>
    </row>
    <row r="807">
      <c r="D807" s="64"/>
    </row>
    <row r="808">
      <c r="D808" s="64"/>
    </row>
    <row r="809">
      <c r="D809" s="64"/>
    </row>
    <row r="810">
      <c r="D810" s="64"/>
    </row>
    <row r="811">
      <c r="D811" s="64"/>
    </row>
    <row r="812">
      <c r="D812" s="64"/>
    </row>
    <row r="813">
      <c r="D813" s="64"/>
    </row>
    <row r="814">
      <c r="D814" s="64"/>
    </row>
    <row r="815">
      <c r="D815" s="64"/>
    </row>
    <row r="816">
      <c r="D816" s="64"/>
    </row>
    <row r="817">
      <c r="D817" s="64"/>
    </row>
    <row r="818">
      <c r="D818" s="64"/>
    </row>
    <row r="819">
      <c r="D819" s="64"/>
    </row>
    <row r="820">
      <c r="D820" s="64"/>
    </row>
    <row r="821">
      <c r="D821" s="64"/>
    </row>
    <row r="822">
      <c r="D822" s="64"/>
    </row>
    <row r="823">
      <c r="D823" s="64"/>
    </row>
    <row r="824">
      <c r="D824" s="64"/>
    </row>
    <row r="825">
      <c r="D825" s="64"/>
    </row>
    <row r="826">
      <c r="D826" s="64"/>
    </row>
    <row r="827">
      <c r="D827" s="64"/>
    </row>
    <row r="828">
      <c r="D828" s="64"/>
    </row>
    <row r="829">
      <c r="D829" s="64"/>
    </row>
    <row r="830">
      <c r="D830" s="64"/>
    </row>
    <row r="831">
      <c r="D831" s="64"/>
    </row>
    <row r="832">
      <c r="D832" s="64"/>
    </row>
    <row r="833">
      <c r="D833" s="64"/>
    </row>
    <row r="834">
      <c r="D834" s="64"/>
    </row>
    <row r="835">
      <c r="D835" s="64"/>
    </row>
    <row r="836">
      <c r="D836" s="64"/>
    </row>
    <row r="837">
      <c r="D837" s="64"/>
    </row>
    <row r="838">
      <c r="D838" s="64"/>
    </row>
    <row r="839">
      <c r="D839" s="64"/>
    </row>
    <row r="840">
      <c r="D840" s="64"/>
    </row>
    <row r="841">
      <c r="D841" s="64"/>
    </row>
    <row r="842">
      <c r="D842" s="64"/>
    </row>
    <row r="843">
      <c r="D843" s="64"/>
    </row>
    <row r="844">
      <c r="D844" s="64"/>
    </row>
    <row r="845">
      <c r="D845" s="64"/>
    </row>
    <row r="846">
      <c r="D846" s="64"/>
    </row>
    <row r="847">
      <c r="D847" s="64"/>
    </row>
    <row r="848">
      <c r="D848" s="64"/>
    </row>
    <row r="849">
      <c r="D849" s="64"/>
    </row>
    <row r="850">
      <c r="D850" s="64"/>
    </row>
    <row r="851">
      <c r="D851" s="64"/>
    </row>
    <row r="852">
      <c r="D852" s="64"/>
    </row>
    <row r="853">
      <c r="D853" s="64"/>
    </row>
    <row r="854">
      <c r="D854" s="64"/>
    </row>
    <row r="855">
      <c r="D855" s="64"/>
    </row>
    <row r="856">
      <c r="D856" s="64"/>
    </row>
    <row r="857">
      <c r="D857" s="64"/>
    </row>
    <row r="858">
      <c r="D858" s="64"/>
    </row>
    <row r="859">
      <c r="D859" s="64"/>
    </row>
    <row r="860">
      <c r="D860" s="64"/>
    </row>
    <row r="861">
      <c r="D861" s="64"/>
    </row>
    <row r="862">
      <c r="D862" s="64"/>
    </row>
    <row r="863">
      <c r="D863" s="64"/>
    </row>
    <row r="864">
      <c r="D864" s="64"/>
    </row>
    <row r="865">
      <c r="D865" s="64"/>
    </row>
    <row r="866">
      <c r="D866" s="64"/>
    </row>
    <row r="867">
      <c r="D867" s="64"/>
    </row>
    <row r="868">
      <c r="D868" s="64"/>
    </row>
    <row r="869">
      <c r="D869" s="64"/>
    </row>
    <row r="870">
      <c r="D870" s="64"/>
    </row>
    <row r="871">
      <c r="D871" s="64"/>
    </row>
    <row r="872">
      <c r="D872" s="64"/>
    </row>
    <row r="873">
      <c r="D873" s="64"/>
    </row>
    <row r="874">
      <c r="D874" s="64"/>
    </row>
    <row r="875">
      <c r="D875" s="64"/>
    </row>
    <row r="876">
      <c r="D876" s="64"/>
    </row>
    <row r="877">
      <c r="D877" s="64"/>
    </row>
    <row r="878">
      <c r="D878" s="64"/>
    </row>
    <row r="879">
      <c r="D879" s="64"/>
    </row>
    <row r="880">
      <c r="D880" s="64"/>
    </row>
    <row r="881">
      <c r="D881" s="64"/>
    </row>
    <row r="882">
      <c r="D882" s="64"/>
    </row>
    <row r="883">
      <c r="D883" s="64"/>
    </row>
    <row r="884">
      <c r="D884" s="64"/>
    </row>
    <row r="885">
      <c r="D885" s="64"/>
    </row>
    <row r="886">
      <c r="D886" s="64"/>
    </row>
    <row r="887">
      <c r="D887" s="64"/>
    </row>
    <row r="888">
      <c r="D888" s="64"/>
    </row>
    <row r="889">
      <c r="D889" s="64"/>
    </row>
    <row r="890">
      <c r="D890" s="64"/>
    </row>
    <row r="891">
      <c r="D891" s="64"/>
    </row>
    <row r="892">
      <c r="D892" s="64"/>
    </row>
    <row r="893">
      <c r="D893" s="64"/>
    </row>
    <row r="894">
      <c r="D894" s="64"/>
    </row>
    <row r="895">
      <c r="D895" s="64"/>
    </row>
    <row r="896">
      <c r="D896" s="64"/>
    </row>
    <row r="897">
      <c r="D897" s="64"/>
    </row>
    <row r="898">
      <c r="D898" s="64"/>
    </row>
    <row r="899">
      <c r="D899" s="64"/>
    </row>
    <row r="900">
      <c r="D900" s="64"/>
    </row>
    <row r="901">
      <c r="D901" s="64"/>
    </row>
    <row r="902">
      <c r="D902" s="64"/>
    </row>
    <row r="903">
      <c r="D903" s="64"/>
    </row>
    <row r="904">
      <c r="D904" s="64"/>
    </row>
    <row r="905">
      <c r="D905" s="64"/>
    </row>
    <row r="906">
      <c r="D906" s="64"/>
    </row>
    <row r="907">
      <c r="D907" s="64"/>
    </row>
    <row r="908">
      <c r="D908" s="64"/>
    </row>
    <row r="909">
      <c r="D909" s="64"/>
    </row>
    <row r="910">
      <c r="D910" s="64"/>
    </row>
    <row r="911">
      <c r="D911" s="64"/>
    </row>
    <row r="912">
      <c r="D912" s="64"/>
    </row>
    <row r="913">
      <c r="D913" s="64"/>
    </row>
    <row r="914">
      <c r="D914" s="64"/>
    </row>
    <row r="915">
      <c r="D915" s="64"/>
    </row>
    <row r="916">
      <c r="D916" s="64"/>
    </row>
    <row r="917">
      <c r="D917" s="64"/>
    </row>
    <row r="918">
      <c r="D918" s="64"/>
    </row>
    <row r="919">
      <c r="D919" s="64"/>
    </row>
    <row r="920">
      <c r="D920" s="64"/>
    </row>
    <row r="921">
      <c r="D921" s="64"/>
    </row>
    <row r="922">
      <c r="D922" s="64"/>
    </row>
    <row r="923">
      <c r="D923" s="64"/>
    </row>
    <row r="924">
      <c r="D924" s="64"/>
    </row>
    <row r="925">
      <c r="D925" s="64"/>
    </row>
    <row r="926">
      <c r="D926" s="64"/>
    </row>
    <row r="927">
      <c r="D927" s="64"/>
    </row>
    <row r="928">
      <c r="D928" s="64"/>
    </row>
    <row r="929">
      <c r="D929" s="64"/>
    </row>
    <row r="930">
      <c r="D930" s="64"/>
    </row>
    <row r="931">
      <c r="D931" s="64"/>
    </row>
    <row r="932">
      <c r="D932" s="64"/>
    </row>
    <row r="933">
      <c r="D933" s="64"/>
    </row>
    <row r="934">
      <c r="D934" s="64"/>
    </row>
    <row r="935">
      <c r="D935" s="64"/>
    </row>
    <row r="936">
      <c r="D936" s="64"/>
    </row>
    <row r="937">
      <c r="D937" s="64"/>
    </row>
    <row r="938">
      <c r="D938" s="64"/>
    </row>
    <row r="939">
      <c r="D939" s="64"/>
    </row>
    <row r="940">
      <c r="D940" s="64"/>
    </row>
    <row r="941">
      <c r="D941" s="64"/>
    </row>
    <row r="942">
      <c r="D942" s="64"/>
    </row>
    <row r="943">
      <c r="D943" s="64"/>
    </row>
    <row r="944">
      <c r="D944" s="64"/>
    </row>
    <row r="945">
      <c r="D945" s="64"/>
    </row>
    <row r="946">
      <c r="D946" s="64"/>
    </row>
    <row r="947">
      <c r="D947" s="64"/>
    </row>
    <row r="948">
      <c r="D948" s="64"/>
    </row>
    <row r="949">
      <c r="D949" s="64"/>
    </row>
    <row r="950">
      <c r="D950" s="64"/>
    </row>
    <row r="951">
      <c r="D951" s="64"/>
    </row>
    <row r="952">
      <c r="D952" s="64"/>
    </row>
    <row r="953">
      <c r="D953" s="64"/>
    </row>
    <row r="954">
      <c r="D954" s="64"/>
    </row>
    <row r="955">
      <c r="D955" s="64"/>
    </row>
    <row r="956">
      <c r="D956" s="64"/>
    </row>
    <row r="957">
      <c r="D957" s="64"/>
    </row>
    <row r="958">
      <c r="D958" s="64"/>
    </row>
    <row r="959">
      <c r="D959" s="64"/>
    </row>
    <row r="960">
      <c r="D960" s="64"/>
    </row>
    <row r="961">
      <c r="D961" s="64"/>
    </row>
    <row r="962">
      <c r="D962" s="64"/>
    </row>
    <row r="963">
      <c r="D963" s="64"/>
    </row>
    <row r="964">
      <c r="D964" s="64"/>
    </row>
    <row r="965">
      <c r="D965" s="64"/>
    </row>
    <row r="966">
      <c r="D966" s="64"/>
    </row>
    <row r="967">
      <c r="D967" s="64"/>
    </row>
    <row r="968">
      <c r="D968" s="64"/>
    </row>
    <row r="969">
      <c r="D969" s="64"/>
    </row>
    <row r="970">
      <c r="D970" s="64"/>
    </row>
    <row r="971">
      <c r="D971" s="64"/>
    </row>
    <row r="972">
      <c r="D972" s="64"/>
    </row>
    <row r="973">
      <c r="D973" s="64"/>
    </row>
    <row r="974">
      <c r="D974" s="64"/>
    </row>
    <row r="975">
      <c r="D975" s="64"/>
    </row>
    <row r="976">
      <c r="D976" s="64"/>
    </row>
    <row r="977">
      <c r="D977" s="64"/>
    </row>
    <row r="978">
      <c r="D978" s="64"/>
    </row>
    <row r="979">
      <c r="D979" s="64"/>
    </row>
    <row r="980">
      <c r="D980" s="64"/>
    </row>
    <row r="981">
      <c r="D981" s="64"/>
    </row>
    <row r="982">
      <c r="D982" s="64"/>
    </row>
    <row r="983">
      <c r="D983" s="64"/>
    </row>
    <row r="984">
      <c r="D984" s="64"/>
    </row>
    <row r="985">
      <c r="D985" s="64"/>
    </row>
    <row r="986">
      <c r="D986" s="64"/>
    </row>
    <row r="987">
      <c r="D987" s="64"/>
    </row>
    <row r="988">
      <c r="D988" s="64"/>
    </row>
    <row r="989">
      <c r="D989" s="64"/>
    </row>
    <row r="990">
      <c r="D990" s="64"/>
    </row>
    <row r="991">
      <c r="D991" s="64"/>
    </row>
    <row r="992">
      <c r="D992" s="64"/>
    </row>
    <row r="993">
      <c r="D993" s="64"/>
    </row>
    <row r="994">
      <c r="D994" s="64"/>
    </row>
    <row r="995">
      <c r="D995" s="64"/>
    </row>
    <row r="996">
      <c r="D996" s="64"/>
    </row>
    <row r="997">
      <c r="D997" s="64"/>
    </row>
    <row r="998">
      <c r="D998" s="64"/>
    </row>
    <row r="999">
      <c r="D999" s="64"/>
    </row>
    <row r="1000">
      <c r="D1000" s="64"/>
    </row>
  </sheetData>
  <autoFilter ref="$A$18:$L$215"/>
  <mergeCells count="1">
    <mergeCell ref="B17:H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9" t="s">
        <v>438</v>
      </c>
      <c r="B1" s="69"/>
      <c r="C1" s="69"/>
      <c r="D1" s="69"/>
      <c r="E1" s="69"/>
      <c r="F1" s="69"/>
      <c r="G1" s="69"/>
      <c r="H1" s="170"/>
    </row>
    <row r="2">
      <c r="A2" s="171" t="s">
        <v>439</v>
      </c>
      <c r="B2" s="74"/>
      <c r="C2" s="74"/>
      <c r="D2" s="74"/>
      <c r="E2" s="74"/>
      <c r="F2" s="74"/>
      <c r="G2" s="74"/>
      <c r="H2" s="172"/>
    </row>
    <row r="3">
      <c r="A3" s="171" t="s">
        <v>440</v>
      </c>
      <c r="B3" s="74"/>
      <c r="C3" s="74"/>
      <c r="D3" s="74"/>
      <c r="E3" s="74"/>
      <c r="F3" s="74"/>
      <c r="G3" s="74"/>
      <c r="H3" s="172"/>
    </row>
    <row r="4">
      <c r="A4" s="173"/>
      <c r="B4" s="174"/>
      <c r="C4" s="175" t="s">
        <v>441</v>
      </c>
      <c r="D4" s="121"/>
      <c r="E4" s="121"/>
      <c r="F4" s="121"/>
      <c r="G4" s="122"/>
      <c r="H4" s="176"/>
    </row>
    <row r="5">
      <c r="A5" s="177" t="s">
        <v>442</v>
      </c>
      <c r="B5" s="177" t="s">
        <v>443</v>
      </c>
      <c r="C5" s="177" t="s">
        <v>444</v>
      </c>
      <c r="D5" s="177" t="s">
        <v>445</v>
      </c>
      <c r="E5" s="177"/>
      <c r="F5" s="177" t="s">
        <v>446</v>
      </c>
      <c r="G5" s="177" t="s">
        <v>447</v>
      </c>
      <c r="H5" s="176"/>
    </row>
    <row r="6">
      <c r="A6" s="178">
        <v>45444.0</v>
      </c>
      <c r="B6" s="177">
        <v>9.0</v>
      </c>
      <c r="C6" s="179">
        <v>4.0</v>
      </c>
      <c r="D6" s="179">
        <v>223.5</v>
      </c>
      <c r="E6" s="179"/>
      <c r="F6" s="179">
        <v>223.5</v>
      </c>
      <c r="G6" s="179">
        <v>4.0</v>
      </c>
      <c r="H6" s="176"/>
      <c r="I6" s="65" t="s">
        <v>448</v>
      </c>
    </row>
    <row r="7">
      <c r="A7" s="180"/>
      <c r="B7" s="177">
        <v>10.0</v>
      </c>
      <c r="C7" s="179">
        <v>3.0</v>
      </c>
      <c r="D7" s="179">
        <v>105.0</v>
      </c>
      <c r="E7" s="179"/>
      <c r="F7" s="179">
        <v>105.0</v>
      </c>
      <c r="G7" s="179">
        <v>2.0</v>
      </c>
      <c r="H7" s="176"/>
    </row>
    <row r="8">
      <c r="A8" s="181"/>
      <c r="B8" s="177">
        <v>11.0</v>
      </c>
      <c r="C8" s="179">
        <v>7.0</v>
      </c>
      <c r="D8" s="179">
        <v>686.0</v>
      </c>
      <c r="E8" s="179"/>
      <c r="F8" s="179">
        <v>686.0</v>
      </c>
      <c r="G8" s="179">
        <v>3.0</v>
      </c>
      <c r="H8" s="176"/>
    </row>
    <row r="9">
      <c r="A9" s="182"/>
      <c r="B9" s="177">
        <v>12.0</v>
      </c>
      <c r="C9" s="179">
        <v>4.0</v>
      </c>
      <c r="D9" s="179">
        <v>480.0</v>
      </c>
      <c r="E9" s="179"/>
      <c r="F9" s="179">
        <v>480.0</v>
      </c>
      <c r="G9" s="179">
        <v>4.0</v>
      </c>
      <c r="H9" s="176"/>
    </row>
    <row r="10">
      <c r="A10" s="183"/>
      <c r="B10" s="177"/>
      <c r="C10" s="179">
        <f t="shared" ref="C10:D10" si="1">SUM(C6:C9)</f>
        <v>18</v>
      </c>
      <c r="D10" s="179">
        <f t="shared" si="1"/>
        <v>1494.5</v>
      </c>
      <c r="E10" s="179"/>
      <c r="F10" s="179">
        <f t="shared" ref="F10:G10" si="2">SUM(F6:F9)</f>
        <v>1494.5</v>
      </c>
      <c r="G10" s="179">
        <f t="shared" si="2"/>
        <v>13</v>
      </c>
      <c r="H10" s="176"/>
    </row>
    <row r="11">
      <c r="A11" s="175" t="s">
        <v>449</v>
      </c>
      <c r="B11" s="122"/>
      <c r="C11" s="179">
        <v>111.0</v>
      </c>
      <c r="D11" s="179">
        <v>16050.5</v>
      </c>
      <c r="E11" s="179"/>
      <c r="F11" s="179">
        <v>15830.5</v>
      </c>
      <c r="G11" s="179">
        <v>69.0</v>
      </c>
      <c r="H11" s="176"/>
    </row>
    <row r="12">
      <c r="A12" s="178">
        <v>45445.0</v>
      </c>
      <c r="B12" s="177">
        <v>10.0</v>
      </c>
      <c r="C12" s="179">
        <v>3.0</v>
      </c>
      <c r="D12" s="179">
        <v>347.0</v>
      </c>
      <c r="E12" s="179"/>
      <c r="F12" s="179">
        <v>347.0</v>
      </c>
      <c r="G12" s="179">
        <v>3.0</v>
      </c>
      <c r="H12" s="176"/>
      <c r="I12" s="65" t="s">
        <v>450</v>
      </c>
    </row>
    <row r="13">
      <c r="A13" s="180"/>
      <c r="B13" s="177">
        <v>11.0</v>
      </c>
      <c r="C13" s="179">
        <v>10.0</v>
      </c>
      <c r="D13" s="179">
        <v>1290.0</v>
      </c>
      <c r="E13" s="179"/>
      <c r="F13" s="179">
        <v>1210.0</v>
      </c>
      <c r="G13" s="179">
        <v>9.0</v>
      </c>
      <c r="H13" s="176"/>
    </row>
    <row r="14">
      <c r="A14" s="182"/>
      <c r="B14" s="177">
        <v>12.0</v>
      </c>
      <c r="C14" s="179">
        <v>9.0</v>
      </c>
      <c r="D14" s="179">
        <v>810.0</v>
      </c>
      <c r="E14" s="179"/>
      <c r="F14" s="179">
        <v>810.0</v>
      </c>
      <c r="G14" s="179">
        <v>8.0</v>
      </c>
      <c r="H14" s="176"/>
    </row>
    <row r="15">
      <c r="A15" s="175" t="s">
        <v>451</v>
      </c>
      <c r="B15" s="122"/>
      <c r="C15" s="179">
        <v>115.0</v>
      </c>
      <c r="D15" s="179">
        <v>15961.0</v>
      </c>
      <c r="E15" s="179"/>
      <c r="F15" s="179">
        <v>15450.0</v>
      </c>
      <c r="G15" s="179">
        <v>85.0</v>
      </c>
      <c r="H15" s="176"/>
    </row>
    <row r="16">
      <c r="A16" s="184">
        <v>45446.0</v>
      </c>
      <c r="B16" s="185">
        <v>9.0</v>
      </c>
      <c r="C16" s="186">
        <v>1.0</v>
      </c>
      <c r="D16" s="186">
        <v>66.0</v>
      </c>
      <c r="E16" s="186"/>
      <c r="F16" s="186">
        <v>66.0</v>
      </c>
      <c r="G16" s="186">
        <v>1.0</v>
      </c>
      <c r="H16" s="187"/>
      <c r="I16" s="188" t="s">
        <v>452</v>
      </c>
    </row>
    <row r="17">
      <c r="A17" s="180"/>
      <c r="B17" s="177">
        <v>10.0</v>
      </c>
      <c r="C17" s="179">
        <v>1.0</v>
      </c>
      <c r="D17" s="179">
        <v>139.0</v>
      </c>
      <c r="E17" s="179"/>
      <c r="F17" s="179">
        <v>85.0</v>
      </c>
      <c r="G17" s="179">
        <v>1.0</v>
      </c>
      <c r="H17" s="176"/>
    </row>
    <row r="18">
      <c r="A18" s="182"/>
      <c r="B18" s="177">
        <v>12.0</v>
      </c>
      <c r="C18" s="179">
        <v>6.0</v>
      </c>
      <c r="D18" s="179">
        <v>2179.0</v>
      </c>
      <c r="E18" s="179"/>
      <c r="F18" s="179">
        <v>2145.1</v>
      </c>
      <c r="G18" s="179">
        <v>5.0</v>
      </c>
      <c r="H18" s="176"/>
    </row>
    <row r="19">
      <c r="A19" s="189" t="s">
        <v>453</v>
      </c>
      <c r="B19" s="185"/>
      <c r="C19" s="186">
        <f t="shared" ref="C19:D19" si="3">C16+C17+C18</f>
        <v>8</v>
      </c>
      <c r="D19" s="186">
        <f t="shared" si="3"/>
        <v>2384</v>
      </c>
      <c r="E19" s="190">
        <f>D19/D20</f>
        <v>0.5009982137</v>
      </c>
      <c r="F19" s="186">
        <f t="shared" ref="F19:G19" si="4">F16+F17+F18</f>
        <v>2296.1</v>
      </c>
      <c r="G19" s="186">
        <f t="shared" si="4"/>
        <v>7</v>
      </c>
      <c r="H19" s="190">
        <f>G19/G20</f>
        <v>0.25</v>
      </c>
    </row>
    <row r="20">
      <c r="A20" s="175" t="s">
        <v>454</v>
      </c>
      <c r="B20" s="122"/>
      <c r="C20" s="179">
        <v>33.0</v>
      </c>
      <c r="D20" s="179">
        <v>4758.5</v>
      </c>
      <c r="E20" s="179"/>
      <c r="F20" s="179">
        <v>4196.4</v>
      </c>
      <c r="G20" s="179">
        <v>28.0</v>
      </c>
      <c r="H20" s="176"/>
    </row>
    <row r="21">
      <c r="A21" s="184">
        <v>45447.0</v>
      </c>
      <c r="B21" s="185">
        <v>9.0</v>
      </c>
      <c r="C21" s="186">
        <v>1.0</v>
      </c>
      <c r="D21" s="186">
        <v>86.0</v>
      </c>
      <c r="E21" s="186"/>
      <c r="F21" s="186">
        <v>86.0</v>
      </c>
      <c r="G21" s="186">
        <v>1.0</v>
      </c>
      <c r="H21" s="187"/>
      <c r="I21" s="188" t="s">
        <v>455</v>
      </c>
    </row>
    <row r="22">
      <c r="A22" s="180"/>
      <c r="B22" s="177">
        <v>10.0</v>
      </c>
      <c r="C22" s="179">
        <v>4.0</v>
      </c>
      <c r="D22" s="179">
        <v>212.0</v>
      </c>
      <c r="E22" s="179"/>
      <c r="F22" s="179">
        <v>212.0</v>
      </c>
      <c r="G22" s="179">
        <v>3.0</v>
      </c>
      <c r="H22" s="176"/>
    </row>
    <row r="23">
      <c r="A23" s="181"/>
      <c r="B23" s="177">
        <v>11.0</v>
      </c>
      <c r="C23" s="179">
        <v>6.0</v>
      </c>
      <c r="D23" s="179">
        <v>289.0</v>
      </c>
      <c r="E23" s="179"/>
      <c r="F23" s="179">
        <v>245.0</v>
      </c>
      <c r="G23" s="179">
        <v>5.0</v>
      </c>
      <c r="H23" s="176"/>
    </row>
    <row r="24">
      <c r="A24" s="182"/>
      <c r="B24" s="177">
        <v>12.0</v>
      </c>
      <c r="C24" s="179">
        <v>5.0</v>
      </c>
      <c r="D24" s="179">
        <v>302.0</v>
      </c>
      <c r="E24" s="179"/>
      <c r="F24" s="179">
        <v>302.0</v>
      </c>
      <c r="G24" s="179">
        <v>3.0</v>
      </c>
      <c r="H24" s="176"/>
    </row>
    <row r="25">
      <c r="A25" s="189" t="s">
        <v>453</v>
      </c>
      <c r="B25" s="185"/>
      <c r="C25" s="186">
        <f t="shared" ref="C25:D25" si="5">C22+C23+C24+C21</f>
        <v>16</v>
      </c>
      <c r="D25" s="186">
        <f t="shared" si="5"/>
        <v>889</v>
      </c>
      <c r="E25" s="190">
        <f>D25/D26</f>
        <v>0.1603246168</v>
      </c>
      <c r="F25" s="186">
        <f t="shared" ref="F25:G25" si="6">F22+F23+F24+F21</f>
        <v>845</v>
      </c>
      <c r="G25" s="186">
        <f t="shared" si="6"/>
        <v>12</v>
      </c>
      <c r="H25" s="190">
        <f>G25/G26</f>
        <v>0.3529411765</v>
      </c>
      <c r="I25" s="191"/>
    </row>
    <row r="26">
      <c r="A26" s="175" t="s">
        <v>456</v>
      </c>
      <c r="B26" s="122"/>
      <c r="C26" s="179">
        <v>57.0</v>
      </c>
      <c r="D26" s="179">
        <v>5545.0</v>
      </c>
      <c r="E26" s="179"/>
      <c r="F26" s="179">
        <v>5299.2</v>
      </c>
      <c r="G26" s="179">
        <v>34.0</v>
      </c>
      <c r="H26" s="176"/>
    </row>
    <row r="27">
      <c r="A27" s="184">
        <v>45448.0</v>
      </c>
      <c r="B27" s="185">
        <v>9.0</v>
      </c>
      <c r="C27" s="186">
        <v>3.0</v>
      </c>
      <c r="D27" s="186">
        <v>120.0</v>
      </c>
      <c r="E27" s="186"/>
      <c r="F27" s="186">
        <v>120.0</v>
      </c>
      <c r="G27" s="186">
        <v>1.0</v>
      </c>
      <c r="H27" s="187"/>
      <c r="I27" s="188" t="s">
        <v>457</v>
      </c>
    </row>
    <row r="28">
      <c r="A28" s="180"/>
      <c r="B28" s="177">
        <v>10.0</v>
      </c>
      <c r="C28" s="179">
        <v>3.0</v>
      </c>
      <c r="D28" s="179">
        <v>65.0</v>
      </c>
      <c r="E28" s="179"/>
      <c r="F28" s="179">
        <v>65.0</v>
      </c>
      <c r="G28" s="179">
        <v>2.0</v>
      </c>
      <c r="H28" s="176"/>
    </row>
    <row r="29">
      <c r="A29" s="181"/>
      <c r="B29" s="177">
        <v>11.0</v>
      </c>
      <c r="C29" s="179">
        <v>3.0</v>
      </c>
      <c r="D29" s="179">
        <v>148.0</v>
      </c>
      <c r="E29" s="179"/>
      <c r="F29" s="179">
        <v>148.0</v>
      </c>
      <c r="G29" s="179">
        <v>3.0</v>
      </c>
      <c r="H29" s="176"/>
    </row>
    <row r="30">
      <c r="A30" s="182"/>
      <c r="B30" s="177">
        <v>12.0</v>
      </c>
      <c r="C30" s="179">
        <v>1.0</v>
      </c>
      <c r="D30" s="179">
        <v>17.0</v>
      </c>
      <c r="E30" s="179"/>
      <c r="F30" s="179">
        <v>17.0</v>
      </c>
      <c r="G30" s="179">
        <v>1.0</v>
      </c>
      <c r="H30" s="176"/>
    </row>
    <row r="31">
      <c r="A31" s="189" t="s">
        <v>453</v>
      </c>
      <c r="B31" s="185"/>
      <c r="C31" s="186">
        <f t="shared" ref="C31:D31" si="7">C27+C28+C29+C30</f>
        <v>10</v>
      </c>
      <c r="D31" s="186">
        <f t="shared" si="7"/>
        <v>350</v>
      </c>
      <c r="E31" s="190">
        <f>D31/D32</f>
        <v>0.03943217666</v>
      </c>
      <c r="F31" s="186">
        <f t="shared" ref="F31:G31" si="8">F27+F28+F29+F30</f>
        <v>350</v>
      </c>
      <c r="G31" s="186">
        <f t="shared" si="8"/>
        <v>7</v>
      </c>
      <c r="H31" s="190">
        <f>G31/G32</f>
        <v>0.137254902</v>
      </c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>
      <c r="A32" s="175" t="s">
        <v>458</v>
      </c>
      <c r="B32" s="122"/>
      <c r="C32" s="179">
        <v>89.0</v>
      </c>
      <c r="D32" s="179">
        <v>8876.0</v>
      </c>
      <c r="E32" s="179"/>
      <c r="F32" s="179">
        <v>8386.15</v>
      </c>
      <c r="G32" s="179">
        <v>51.0</v>
      </c>
      <c r="H32" s="176"/>
    </row>
    <row r="33">
      <c r="A33" s="184">
        <v>45449.0</v>
      </c>
      <c r="B33" s="185">
        <v>10.0</v>
      </c>
      <c r="C33" s="186">
        <v>4.0</v>
      </c>
      <c r="D33" s="186">
        <v>144.0</v>
      </c>
      <c r="E33" s="186"/>
      <c r="F33" s="186">
        <v>144.0</v>
      </c>
      <c r="G33" s="186">
        <v>3.0</v>
      </c>
      <c r="H33" s="187"/>
      <c r="I33" s="188" t="s">
        <v>459</v>
      </c>
    </row>
    <row r="34">
      <c r="A34" s="192"/>
      <c r="B34" s="177">
        <v>12.0</v>
      </c>
      <c r="C34" s="179">
        <v>6.0</v>
      </c>
      <c r="D34" s="179">
        <v>203.0</v>
      </c>
      <c r="E34" s="179"/>
      <c r="F34" s="179">
        <v>182.0</v>
      </c>
      <c r="G34" s="179">
        <v>5.0</v>
      </c>
      <c r="H34" s="176"/>
    </row>
    <row r="35">
      <c r="A35" s="189" t="s">
        <v>453</v>
      </c>
      <c r="B35" s="185"/>
      <c r="C35" s="186">
        <f t="shared" ref="C35:D35" si="9">C33+C34</f>
        <v>10</v>
      </c>
      <c r="D35" s="186">
        <f t="shared" si="9"/>
        <v>347</v>
      </c>
      <c r="E35" s="190">
        <f>D35/D36</f>
        <v>0.03020017406</v>
      </c>
      <c r="F35" s="186">
        <f t="shared" ref="F35:G35" si="10">F33+F34</f>
        <v>326</v>
      </c>
      <c r="G35" s="186">
        <f t="shared" si="10"/>
        <v>8</v>
      </c>
      <c r="H35" s="190">
        <f>G35/G36</f>
        <v>0.1428571429</v>
      </c>
    </row>
    <row r="36">
      <c r="A36" s="175" t="s">
        <v>460</v>
      </c>
      <c r="B36" s="122"/>
      <c r="C36" s="179">
        <v>95.0</v>
      </c>
      <c r="D36" s="179">
        <v>11490.0</v>
      </c>
      <c r="E36" s="179"/>
      <c r="F36" s="179">
        <v>10969.2</v>
      </c>
      <c r="G36" s="179">
        <v>56.0</v>
      </c>
      <c r="H36" s="176"/>
    </row>
    <row r="37">
      <c r="A37" s="178">
        <v>45450.0</v>
      </c>
      <c r="B37" s="177">
        <v>9.0</v>
      </c>
      <c r="C37" s="179">
        <v>2.0</v>
      </c>
      <c r="D37" s="179">
        <v>38.0</v>
      </c>
      <c r="E37" s="179"/>
      <c r="F37" s="179">
        <v>38.0</v>
      </c>
      <c r="G37" s="179">
        <v>1.0</v>
      </c>
      <c r="H37" s="176"/>
    </row>
    <row r="38">
      <c r="A38" s="180"/>
      <c r="B38" s="177">
        <v>10.0</v>
      </c>
      <c r="C38" s="179">
        <v>4.0</v>
      </c>
      <c r="D38" s="179">
        <v>303.5</v>
      </c>
      <c r="E38" s="179"/>
      <c r="F38" s="179">
        <v>303.5</v>
      </c>
      <c r="G38" s="179">
        <v>3.0</v>
      </c>
      <c r="H38" s="176"/>
    </row>
    <row r="39">
      <c r="A39" s="181"/>
      <c r="B39" s="177">
        <v>11.0</v>
      </c>
      <c r="C39" s="179">
        <v>7.0</v>
      </c>
      <c r="D39" s="179">
        <v>366.0</v>
      </c>
      <c r="E39" s="179"/>
      <c r="F39" s="179">
        <v>366.0</v>
      </c>
      <c r="G39" s="179">
        <v>4.0</v>
      </c>
      <c r="H39" s="176"/>
    </row>
    <row r="40">
      <c r="A40" s="182"/>
      <c r="B40" s="177">
        <v>12.0</v>
      </c>
      <c r="C40" s="179">
        <v>2.0</v>
      </c>
      <c r="D40" s="179">
        <v>148.0</v>
      </c>
      <c r="E40" s="179"/>
      <c r="F40" s="179">
        <v>148.0</v>
      </c>
      <c r="G40" s="179">
        <v>1.0</v>
      </c>
      <c r="H40" s="176"/>
    </row>
    <row r="41">
      <c r="A41" s="175" t="s">
        <v>461</v>
      </c>
      <c r="B41" s="122"/>
      <c r="C41" s="179">
        <v>108.0</v>
      </c>
      <c r="D41" s="179">
        <v>9836.5</v>
      </c>
      <c r="E41" s="179"/>
      <c r="F41" s="179">
        <v>9387.3</v>
      </c>
      <c r="G41" s="179">
        <v>54.0</v>
      </c>
      <c r="H41" s="176"/>
    </row>
    <row r="42">
      <c r="A42" s="178">
        <v>45451.0</v>
      </c>
      <c r="B42" s="177">
        <v>10.0</v>
      </c>
      <c r="C42" s="179">
        <v>6.0</v>
      </c>
      <c r="D42" s="179">
        <v>325.0</v>
      </c>
      <c r="E42" s="179"/>
      <c r="F42" s="179">
        <v>325.0</v>
      </c>
      <c r="G42" s="179">
        <v>5.0</v>
      </c>
      <c r="H42" s="176"/>
    </row>
    <row r="43">
      <c r="A43" s="180"/>
      <c r="B43" s="177">
        <v>11.0</v>
      </c>
      <c r="C43" s="179">
        <v>19.0</v>
      </c>
      <c r="D43" s="179">
        <v>1204.0</v>
      </c>
      <c r="E43" s="179"/>
      <c r="F43" s="179">
        <v>1114.5</v>
      </c>
      <c r="G43" s="179">
        <v>14.0</v>
      </c>
      <c r="H43" s="176"/>
    </row>
    <row r="44">
      <c r="A44" s="182"/>
      <c r="B44" s="177">
        <v>12.0</v>
      </c>
      <c r="C44" s="179">
        <v>16.0</v>
      </c>
      <c r="D44" s="179">
        <v>920.0</v>
      </c>
      <c r="E44" s="179"/>
      <c r="F44" s="179">
        <v>920.0</v>
      </c>
      <c r="G44" s="179">
        <v>7.0</v>
      </c>
      <c r="H44" s="176"/>
    </row>
    <row r="45">
      <c r="A45" s="175" t="s">
        <v>462</v>
      </c>
      <c r="B45" s="122"/>
      <c r="C45" s="179">
        <v>169.0</v>
      </c>
      <c r="D45" s="179">
        <v>16061.5</v>
      </c>
      <c r="E45" s="179"/>
      <c r="F45" s="179">
        <v>15765.0</v>
      </c>
      <c r="G45" s="179">
        <v>108.0</v>
      </c>
      <c r="H45" s="176"/>
    </row>
    <row r="46">
      <c r="A46" s="178">
        <v>45452.0</v>
      </c>
      <c r="B46" s="177">
        <v>9.0</v>
      </c>
      <c r="C46" s="179">
        <v>2.0</v>
      </c>
      <c r="D46" s="179">
        <v>63.0</v>
      </c>
      <c r="E46" s="179"/>
      <c r="F46" s="179">
        <v>63.0</v>
      </c>
      <c r="G46" s="179">
        <v>2.0</v>
      </c>
      <c r="H46" s="176"/>
    </row>
    <row r="47">
      <c r="A47" s="180"/>
      <c r="B47" s="177">
        <v>11.0</v>
      </c>
      <c r="C47" s="179">
        <v>13.0</v>
      </c>
      <c r="D47" s="179">
        <v>765.0</v>
      </c>
      <c r="E47" s="179"/>
      <c r="F47" s="179">
        <v>738.0</v>
      </c>
      <c r="G47" s="179">
        <v>9.0</v>
      </c>
      <c r="H47" s="176"/>
    </row>
    <row r="48">
      <c r="A48" s="182"/>
      <c r="B48" s="177">
        <v>12.0</v>
      </c>
      <c r="C48" s="179">
        <v>21.0</v>
      </c>
      <c r="D48" s="179">
        <v>2358.0</v>
      </c>
      <c r="E48" s="179"/>
      <c r="F48" s="179">
        <v>2358.0</v>
      </c>
      <c r="G48" s="179">
        <v>15.0</v>
      </c>
      <c r="H48" s="176"/>
    </row>
    <row r="49">
      <c r="A49" s="175" t="s">
        <v>463</v>
      </c>
      <c r="B49" s="122"/>
      <c r="C49" s="179">
        <v>146.0</v>
      </c>
      <c r="D49" s="179">
        <v>23023.0</v>
      </c>
      <c r="E49" s="179"/>
      <c r="F49" s="179">
        <v>22741.5</v>
      </c>
      <c r="G49" s="179">
        <v>102.0</v>
      </c>
      <c r="H49" s="176"/>
    </row>
    <row r="50">
      <c r="A50" s="184">
        <v>45453.0</v>
      </c>
      <c r="B50" s="185">
        <v>9.0</v>
      </c>
      <c r="C50" s="186">
        <v>2.0</v>
      </c>
      <c r="D50" s="186">
        <v>160.0</v>
      </c>
      <c r="E50" s="186"/>
      <c r="F50" s="186">
        <v>160.0</v>
      </c>
      <c r="G50" s="186">
        <v>2.0</v>
      </c>
      <c r="H50" s="187"/>
      <c r="I50" s="188" t="s">
        <v>452</v>
      </c>
    </row>
    <row r="51">
      <c r="A51" s="180"/>
      <c r="B51" s="177">
        <v>10.0</v>
      </c>
      <c r="C51" s="179">
        <v>9.0</v>
      </c>
      <c r="D51" s="179">
        <v>706.0</v>
      </c>
      <c r="E51" s="179"/>
      <c r="F51" s="179">
        <v>652.0</v>
      </c>
      <c r="G51" s="179">
        <v>5.0</v>
      </c>
      <c r="H51" s="176"/>
    </row>
    <row r="52">
      <c r="A52" s="181"/>
      <c r="B52" s="177">
        <v>11.0</v>
      </c>
      <c r="C52" s="179">
        <v>1.0</v>
      </c>
      <c r="D52" s="179">
        <v>54.0</v>
      </c>
      <c r="E52" s="179"/>
      <c r="F52" s="179">
        <v>54.0</v>
      </c>
      <c r="G52" s="179">
        <v>1.0</v>
      </c>
      <c r="H52" s="176"/>
    </row>
    <row r="53">
      <c r="A53" s="182"/>
      <c r="B53" s="177">
        <v>12.0</v>
      </c>
      <c r="C53" s="179">
        <v>5.0</v>
      </c>
      <c r="D53" s="179">
        <v>505.5</v>
      </c>
      <c r="E53" s="179"/>
      <c r="F53" s="179">
        <v>500.47</v>
      </c>
      <c r="G53" s="179">
        <v>5.0</v>
      </c>
      <c r="H53" s="176"/>
    </row>
    <row r="54">
      <c r="A54" s="189" t="s">
        <v>453</v>
      </c>
      <c r="B54" s="185"/>
      <c r="C54" s="186">
        <f t="shared" ref="C54:D54" si="11">C50+C51+C52+C53</f>
        <v>17</v>
      </c>
      <c r="D54" s="186">
        <f t="shared" si="11"/>
        <v>1425.5</v>
      </c>
      <c r="E54" s="190">
        <f>D54/D55</f>
        <v>0.2703138333</v>
      </c>
      <c r="F54" s="186">
        <f t="shared" ref="F54:G54" si="12">F50+F51+F52+F53</f>
        <v>1366.47</v>
      </c>
      <c r="G54" s="186">
        <f t="shared" si="12"/>
        <v>13</v>
      </c>
      <c r="H54" s="190">
        <f>G54/G55</f>
        <v>0.325</v>
      </c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>
      <c r="A55" s="175" t="s">
        <v>464</v>
      </c>
      <c r="B55" s="122"/>
      <c r="C55" s="179">
        <v>56.0</v>
      </c>
      <c r="D55" s="179">
        <v>5273.5</v>
      </c>
      <c r="E55" s="179"/>
      <c r="F55" s="179">
        <v>5003.37</v>
      </c>
      <c r="G55" s="179">
        <v>40.0</v>
      </c>
      <c r="H55" s="176"/>
    </row>
    <row r="56">
      <c r="A56" s="184">
        <v>45454.0</v>
      </c>
      <c r="B56" s="185">
        <v>11.0</v>
      </c>
      <c r="C56" s="186">
        <v>2.0</v>
      </c>
      <c r="D56" s="186">
        <v>182.0</v>
      </c>
      <c r="E56" s="186"/>
      <c r="F56" s="186">
        <v>182.0</v>
      </c>
      <c r="G56" s="186">
        <v>2.0</v>
      </c>
      <c r="H56" s="187"/>
      <c r="I56" s="188" t="s">
        <v>455</v>
      </c>
    </row>
    <row r="57">
      <c r="A57" s="192"/>
      <c r="B57" s="177">
        <v>12.0</v>
      </c>
      <c r="C57" s="179">
        <v>9.0</v>
      </c>
      <c r="D57" s="179">
        <v>785.0</v>
      </c>
      <c r="E57" s="179"/>
      <c r="F57" s="179">
        <v>724.25</v>
      </c>
      <c r="G57" s="179">
        <v>5.0</v>
      </c>
      <c r="H57" s="176"/>
    </row>
    <row r="58">
      <c r="A58" s="189" t="s">
        <v>453</v>
      </c>
      <c r="B58" s="177"/>
      <c r="C58" s="179">
        <f t="shared" ref="C58:D58" si="13">C56+C57</f>
        <v>11</v>
      </c>
      <c r="D58" s="179">
        <f t="shared" si="13"/>
        <v>967</v>
      </c>
      <c r="E58" s="190">
        <f>D58/D59</f>
        <v>0.09947536262</v>
      </c>
      <c r="F58" s="179">
        <f t="shared" ref="F58:G58" si="14">F56+F57</f>
        <v>906.25</v>
      </c>
      <c r="G58" s="179">
        <f t="shared" si="14"/>
        <v>7</v>
      </c>
      <c r="H58" s="190">
        <f>G58/G59</f>
        <v>0.1555555556</v>
      </c>
    </row>
    <row r="59">
      <c r="A59" s="175" t="s">
        <v>465</v>
      </c>
      <c r="B59" s="122"/>
      <c r="C59" s="179">
        <v>77.0</v>
      </c>
      <c r="D59" s="179">
        <v>9721.0</v>
      </c>
      <c r="E59" s="179"/>
      <c r="F59" s="179">
        <v>9307.7</v>
      </c>
      <c r="G59" s="179">
        <v>45.0</v>
      </c>
      <c r="H59" s="176"/>
    </row>
    <row r="60">
      <c r="A60" s="184">
        <v>45455.0</v>
      </c>
      <c r="B60" s="185">
        <v>9.0</v>
      </c>
      <c r="C60" s="186">
        <v>3.0</v>
      </c>
      <c r="D60" s="186">
        <v>94.0</v>
      </c>
      <c r="E60" s="186"/>
      <c r="F60" s="186">
        <v>94.0</v>
      </c>
      <c r="G60" s="186">
        <v>2.0</v>
      </c>
      <c r="H60" s="187"/>
      <c r="I60" s="188" t="s">
        <v>457</v>
      </c>
    </row>
    <row r="61">
      <c r="A61" s="180"/>
      <c r="B61" s="177">
        <v>10.0</v>
      </c>
      <c r="C61" s="179">
        <v>4.0</v>
      </c>
      <c r="D61" s="179">
        <v>347.0</v>
      </c>
      <c r="E61" s="179"/>
      <c r="F61" s="179">
        <v>347.0</v>
      </c>
      <c r="G61" s="179">
        <v>2.0</v>
      </c>
      <c r="H61" s="176"/>
    </row>
    <row r="62">
      <c r="A62" s="181"/>
      <c r="B62" s="177">
        <v>11.0</v>
      </c>
      <c r="C62" s="179">
        <v>9.0</v>
      </c>
      <c r="D62" s="179">
        <v>777.5</v>
      </c>
      <c r="E62" s="179"/>
      <c r="F62" s="179">
        <v>777.5</v>
      </c>
      <c r="G62" s="179">
        <v>6.0</v>
      </c>
      <c r="H62" s="176"/>
    </row>
    <row r="63">
      <c r="A63" s="182"/>
      <c r="B63" s="177">
        <v>12.0</v>
      </c>
      <c r="C63" s="179">
        <v>1.0</v>
      </c>
      <c r="D63" s="179">
        <v>16.0</v>
      </c>
      <c r="E63" s="179"/>
      <c r="F63" s="179">
        <v>16.0</v>
      </c>
      <c r="G63" s="179">
        <v>1.0</v>
      </c>
      <c r="H63" s="176"/>
    </row>
    <row r="64">
      <c r="A64" s="189" t="s">
        <v>453</v>
      </c>
      <c r="B64" s="177"/>
      <c r="C64" s="179">
        <f t="shared" ref="C64:D64" si="15">C60+C61+C62+C63</f>
        <v>17</v>
      </c>
      <c r="D64" s="179">
        <f t="shared" si="15"/>
        <v>1234.5</v>
      </c>
      <c r="E64" s="190">
        <f>D64/D65</f>
        <v>0.1647537702</v>
      </c>
      <c r="F64" s="179">
        <f t="shared" ref="F64:G64" si="16">F60+F61+F62+F63</f>
        <v>1234.5</v>
      </c>
      <c r="G64" s="179">
        <f t="shared" si="16"/>
        <v>11</v>
      </c>
      <c r="H64" s="190">
        <f>G64/G65</f>
        <v>0.2820512821</v>
      </c>
    </row>
    <row r="65">
      <c r="A65" s="175" t="s">
        <v>466</v>
      </c>
      <c r="B65" s="122"/>
      <c r="C65" s="179">
        <v>77.0</v>
      </c>
      <c r="D65" s="179">
        <v>7493.0</v>
      </c>
      <c r="E65" s="179"/>
      <c r="F65" s="179">
        <v>7389.2</v>
      </c>
      <c r="G65" s="179">
        <v>39.0</v>
      </c>
      <c r="H65" s="176"/>
    </row>
    <row r="66">
      <c r="A66" s="184">
        <v>45456.0</v>
      </c>
      <c r="B66" s="185">
        <v>10.0</v>
      </c>
      <c r="C66" s="186">
        <v>5.0</v>
      </c>
      <c r="D66" s="186">
        <v>334.5</v>
      </c>
      <c r="E66" s="186"/>
      <c r="F66" s="186">
        <v>334.5</v>
      </c>
      <c r="G66" s="186">
        <v>5.0</v>
      </c>
      <c r="H66" s="187"/>
      <c r="I66" s="188" t="s">
        <v>459</v>
      </c>
    </row>
    <row r="67">
      <c r="A67" s="180"/>
      <c r="B67" s="177">
        <v>11.0</v>
      </c>
      <c r="C67" s="179">
        <v>4.0</v>
      </c>
      <c r="D67" s="179">
        <v>238.0</v>
      </c>
      <c r="E67" s="179"/>
      <c r="F67" s="179">
        <v>238.0</v>
      </c>
      <c r="G67" s="179">
        <v>2.0</v>
      </c>
      <c r="H67" s="176"/>
    </row>
    <row r="68">
      <c r="A68" s="182"/>
      <c r="B68" s="177">
        <v>12.0</v>
      </c>
      <c r="C68" s="179">
        <v>3.0</v>
      </c>
      <c r="D68" s="179">
        <v>239.0</v>
      </c>
      <c r="E68" s="179"/>
      <c r="F68" s="179">
        <v>226.4</v>
      </c>
      <c r="G68" s="179">
        <v>2.0</v>
      </c>
      <c r="H68" s="176"/>
    </row>
    <row r="69">
      <c r="A69" s="189" t="s">
        <v>453</v>
      </c>
      <c r="B69" s="177"/>
      <c r="C69" s="179">
        <f t="shared" ref="C69:D69" si="17">C66+C67+C68</f>
        <v>12</v>
      </c>
      <c r="D69" s="179">
        <f t="shared" si="17"/>
        <v>811.5</v>
      </c>
      <c r="E69" s="190">
        <f>D69/D70</f>
        <v>0.11615258</v>
      </c>
      <c r="F69" s="179">
        <f t="shared" ref="F69:G69" si="18">F66+F67+F68</f>
        <v>798.9</v>
      </c>
      <c r="G69" s="179">
        <f t="shared" si="18"/>
        <v>9</v>
      </c>
      <c r="H69" s="190">
        <f>G69/G70</f>
        <v>0.1836734694</v>
      </c>
    </row>
    <row r="70">
      <c r="A70" s="175" t="s">
        <v>467</v>
      </c>
      <c r="B70" s="122"/>
      <c r="C70" s="179">
        <v>77.0</v>
      </c>
      <c r="D70" s="179">
        <v>6986.5</v>
      </c>
      <c r="E70" s="179"/>
      <c r="F70" s="179">
        <v>6846.85</v>
      </c>
      <c r="G70" s="179">
        <v>49.0</v>
      </c>
      <c r="H70" s="176"/>
    </row>
    <row r="71">
      <c r="A71" s="178">
        <v>45457.0</v>
      </c>
      <c r="B71" s="177">
        <v>9.0</v>
      </c>
      <c r="C71" s="179">
        <v>4.0</v>
      </c>
      <c r="D71" s="179">
        <v>195.5</v>
      </c>
      <c r="E71" s="179"/>
      <c r="F71" s="179">
        <v>195.5</v>
      </c>
      <c r="G71" s="179">
        <v>3.0</v>
      </c>
      <c r="H71" s="176"/>
    </row>
    <row r="72">
      <c r="A72" s="180"/>
      <c r="B72" s="177">
        <v>10.0</v>
      </c>
      <c r="C72" s="179">
        <v>4.0</v>
      </c>
      <c r="D72" s="179">
        <v>191.0</v>
      </c>
      <c r="E72" s="179"/>
      <c r="F72" s="179">
        <v>191.0</v>
      </c>
      <c r="G72" s="179">
        <v>3.0</v>
      </c>
      <c r="H72" s="176"/>
    </row>
    <row r="73">
      <c r="A73" s="181"/>
      <c r="B73" s="177">
        <v>11.0</v>
      </c>
      <c r="C73" s="179">
        <v>12.0</v>
      </c>
      <c r="D73" s="179">
        <v>744.0</v>
      </c>
      <c r="E73" s="179"/>
      <c r="F73" s="179">
        <v>675.0</v>
      </c>
      <c r="G73" s="179">
        <v>4.0</v>
      </c>
      <c r="H73" s="176"/>
    </row>
    <row r="74">
      <c r="A74" s="182"/>
      <c r="B74" s="177">
        <v>12.0</v>
      </c>
      <c r="C74" s="179">
        <v>6.0</v>
      </c>
      <c r="D74" s="179">
        <v>305.0</v>
      </c>
      <c r="E74" s="179"/>
      <c r="F74" s="179">
        <v>299.6</v>
      </c>
      <c r="G74" s="179">
        <v>3.0</v>
      </c>
      <c r="H74" s="176"/>
    </row>
    <row r="75">
      <c r="A75" s="175" t="s">
        <v>468</v>
      </c>
      <c r="B75" s="122"/>
      <c r="C75" s="179">
        <v>98.0</v>
      </c>
      <c r="D75" s="179">
        <v>10423.5</v>
      </c>
      <c r="E75" s="179"/>
      <c r="F75" s="179">
        <v>9967.7</v>
      </c>
      <c r="G75" s="179">
        <v>55.0</v>
      </c>
      <c r="H75" s="176"/>
    </row>
    <row r="76">
      <c r="A76" s="178">
        <v>45458.0</v>
      </c>
      <c r="B76" s="177">
        <v>9.0</v>
      </c>
      <c r="C76" s="179">
        <v>2.0</v>
      </c>
      <c r="D76" s="179">
        <v>128.0</v>
      </c>
      <c r="E76" s="179"/>
      <c r="F76" s="179">
        <v>128.0</v>
      </c>
      <c r="G76" s="179">
        <v>1.0</v>
      </c>
      <c r="H76" s="176"/>
    </row>
    <row r="77">
      <c r="A77" s="180"/>
      <c r="B77" s="177">
        <v>10.0</v>
      </c>
      <c r="C77" s="179">
        <v>13.0</v>
      </c>
      <c r="D77" s="179">
        <v>718.0</v>
      </c>
      <c r="E77" s="179"/>
      <c r="F77" s="179">
        <v>718.0</v>
      </c>
      <c r="G77" s="179">
        <v>8.0</v>
      </c>
      <c r="H77" s="176"/>
    </row>
    <row r="78">
      <c r="A78" s="181"/>
      <c r="B78" s="177">
        <v>11.0</v>
      </c>
      <c r="C78" s="179">
        <v>18.0</v>
      </c>
      <c r="D78" s="179">
        <v>1163.0</v>
      </c>
      <c r="E78" s="179"/>
      <c r="F78" s="179">
        <v>1043.5</v>
      </c>
      <c r="G78" s="179">
        <v>6.0</v>
      </c>
      <c r="H78" s="176"/>
    </row>
    <row r="79">
      <c r="A79" s="182"/>
      <c r="B79" s="177">
        <v>12.0</v>
      </c>
      <c r="C79" s="179">
        <v>12.0</v>
      </c>
      <c r="D79" s="179">
        <v>1165.0</v>
      </c>
      <c r="E79" s="179"/>
      <c r="F79" s="179">
        <v>1165.0</v>
      </c>
      <c r="G79" s="179">
        <v>10.0</v>
      </c>
      <c r="H79" s="176"/>
    </row>
    <row r="80">
      <c r="A80" s="175" t="s">
        <v>469</v>
      </c>
      <c r="B80" s="122"/>
      <c r="C80" s="179">
        <v>192.0</v>
      </c>
      <c r="D80" s="179">
        <v>22496.0</v>
      </c>
      <c r="E80" s="179"/>
      <c r="F80" s="179">
        <v>22094.0</v>
      </c>
      <c r="G80" s="179">
        <v>101.0</v>
      </c>
      <c r="H80" s="176"/>
    </row>
    <row r="81">
      <c r="A81" s="178">
        <v>45459.0</v>
      </c>
      <c r="B81" s="177">
        <v>10.0</v>
      </c>
      <c r="C81" s="179">
        <v>7.0</v>
      </c>
      <c r="D81" s="179">
        <v>439.0</v>
      </c>
      <c r="E81" s="179"/>
      <c r="F81" s="179">
        <v>387.0</v>
      </c>
      <c r="G81" s="179">
        <v>3.0</v>
      </c>
      <c r="H81" s="176"/>
    </row>
    <row r="82">
      <c r="A82" s="180"/>
      <c r="B82" s="177">
        <v>11.0</v>
      </c>
      <c r="C82" s="179">
        <v>9.0</v>
      </c>
      <c r="D82" s="179">
        <v>819.0</v>
      </c>
      <c r="E82" s="179"/>
      <c r="F82" s="179">
        <v>819.0</v>
      </c>
      <c r="G82" s="179">
        <v>7.0</v>
      </c>
      <c r="H82" s="176"/>
    </row>
    <row r="83">
      <c r="A83" s="182"/>
      <c r="B83" s="177">
        <v>12.0</v>
      </c>
      <c r="C83" s="179">
        <v>23.0</v>
      </c>
      <c r="D83" s="179">
        <v>1344.0</v>
      </c>
      <c r="E83" s="179"/>
      <c r="F83" s="179">
        <v>1344.0</v>
      </c>
      <c r="G83" s="179">
        <v>13.0</v>
      </c>
      <c r="H83" s="176"/>
    </row>
    <row r="84">
      <c r="A84" s="175" t="s">
        <v>470</v>
      </c>
      <c r="B84" s="122"/>
      <c r="C84" s="179">
        <v>163.0</v>
      </c>
      <c r="D84" s="179">
        <v>15531.49</v>
      </c>
      <c r="E84" s="179"/>
      <c r="F84" s="179">
        <v>15133.99</v>
      </c>
      <c r="G84" s="179">
        <v>85.0</v>
      </c>
      <c r="H84" s="176"/>
    </row>
    <row r="85">
      <c r="A85" s="184">
        <v>45460.0</v>
      </c>
      <c r="B85" s="185">
        <v>10.0</v>
      </c>
      <c r="C85" s="186">
        <v>2.0</v>
      </c>
      <c r="D85" s="186">
        <v>115.0</v>
      </c>
      <c r="E85" s="186"/>
      <c r="F85" s="186">
        <v>115.0</v>
      </c>
      <c r="G85" s="186">
        <v>2.0</v>
      </c>
      <c r="H85" s="187"/>
      <c r="I85" s="188" t="s">
        <v>452</v>
      </c>
    </row>
    <row r="86">
      <c r="A86" s="180"/>
      <c r="B86" s="177">
        <v>11.0</v>
      </c>
      <c r="C86" s="179">
        <v>9.0</v>
      </c>
      <c r="D86" s="179">
        <v>1079.0</v>
      </c>
      <c r="E86" s="179"/>
      <c r="F86" s="179">
        <v>1079.0</v>
      </c>
      <c r="G86" s="179">
        <v>6.0</v>
      </c>
      <c r="H86" s="176"/>
    </row>
    <row r="87">
      <c r="A87" s="182"/>
      <c r="B87" s="177">
        <v>12.0</v>
      </c>
      <c r="C87" s="179">
        <v>3.0</v>
      </c>
      <c r="D87" s="179">
        <v>307.0</v>
      </c>
      <c r="E87" s="179"/>
      <c r="F87" s="179">
        <v>307.0</v>
      </c>
      <c r="G87" s="179">
        <v>2.0</v>
      </c>
      <c r="H87" s="176"/>
    </row>
    <row r="88">
      <c r="A88" s="189" t="s">
        <v>453</v>
      </c>
      <c r="B88" s="177"/>
      <c r="C88" s="179">
        <f t="shared" ref="C88:D88" si="19">C85+C86+C87</f>
        <v>14</v>
      </c>
      <c r="D88" s="179">
        <f t="shared" si="19"/>
        <v>1501</v>
      </c>
      <c r="E88" s="190">
        <f>D88/D89</f>
        <v>0.223862789</v>
      </c>
      <c r="F88" s="179">
        <f t="shared" ref="F88:G88" si="20">F85+F86+F87</f>
        <v>1501</v>
      </c>
      <c r="G88" s="179">
        <f t="shared" si="20"/>
        <v>10</v>
      </c>
      <c r="H88" s="190">
        <f>G88/G89</f>
        <v>0.2702702703</v>
      </c>
    </row>
    <row r="89">
      <c r="A89" s="175" t="s">
        <v>471</v>
      </c>
      <c r="B89" s="122"/>
      <c r="C89" s="179">
        <v>60.0</v>
      </c>
      <c r="D89" s="179">
        <v>6705.0</v>
      </c>
      <c r="E89" s="179"/>
      <c r="F89" s="179">
        <v>6545.25</v>
      </c>
      <c r="G89" s="179">
        <v>37.0</v>
      </c>
      <c r="H89" s="176"/>
    </row>
    <row r="90">
      <c r="A90" s="184">
        <v>45461.0</v>
      </c>
      <c r="B90" s="185">
        <v>10.0</v>
      </c>
      <c r="C90" s="186">
        <v>1.0</v>
      </c>
      <c r="D90" s="186">
        <v>35.0</v>
      </c>
      <c r="E90" s="186"/>
      <c r="F90" s="186">
        <v>35.0</v>
      </c>
      <c r="G90" s="186">
        <v>1.0</v>
      </c>
      <c r="H90" s="187"/>
      <c r="I90" s="188" t="s">
        <v>455</v>
      </c>
    </row>
    <row r="91">
      <c r="A91" s="180"/>
      <c r="B91" s="177">
        <v>11.0</v>
      </c>
      <c r="C91" s="179">
        <v>1.0</v>
      </c>
      <c r="D91" s="179">
        <v>40.0</v>
      </c>
      <c r="E91" s="179"/>
      <c r="F91" s="179">
        <v>40.0</v>
      </c>
      <c r="G91" s="179">
        <v>1.0</v>
      </c>
      <c r="H91" s="176"/>
    </row>
    <row r="92">
      <c r="A92" s="182"/>
      <c r="B92" s="177">
        <v>12.0</v>
      </c>
      <c r="C92" s="179">
        <v>4.0</v>
      </c>
      <c r="D92" s="179">
        <v>543.0</v>
      </c>
      <c r="E92" s="179"/>
      <c r="F92" s="179">
        <v>495.6</v>
      </c>
      <c r="G92" s="179">
        <v>3.0</v>
      </c>
      <c r="H92" s="176"/>
    </row>
    <row r="93">
      <c r="A93" s="189" t="s">
        <v>453</v>
      </c>
      <c r="B93" s="177"/>
      <c r="C93" s="179">
        <f t="shared" ref="C93:D93" si="21">C90+C91+C92</f>
        <v>6</v>
      </c>
      <c r="D93" s="179">
        <f t="shared" si="21"/>
        <v>618</v>
      </c>
      <c r="E93" s="190">
        <f>D93/D94</f>
        <v>0.0397210528</v>
      </c>
      <c r="F93" s="179">
        <f t="shared" ref="F93:G93" si="22">F90+F91+F92</f>
        <v>570.6</v>
      </c>
      <c r="G93" s="179">
        <f t="shared" si="22"/>
        <v>5</v>
      </c>
      <c r="H93" s="190">
        <f>G93/G94</f>
        <v>0.1136363636</v>
      </c>
    </row>
    <row r="94">
      <c r="A94" s="175" t="s">
        <v>472</v>
      </c>
      <c r="B94" s="122"/>
      <c r="C94" s="179">
        <v>73.0</v>
      </c>
      <c r="D94" s="179">
        <v>15558.5</v>
      </c>
      <c r="E94" s="179"/>
      <c r="F94" s="179">
        <v>15232.4</v>
      </c>
      <c r="G94" s="179">
        <v>44.0</v>
      </c>
      <c r="H94" s="176"/>
    </row>
    <row r="95">
      <c r="A95" s="184">
        <v>45462.0</v>
      </c>
      <c r="B95" s="185">
        <v>9.0</v>
      </c>
      <c r="C95" s="186">
        <v>2.0</v>
      </c>
      <c r="D95" s="186">
        <v>34.0</v>
      </c>
      <c r="E95" s="186"/>
      <c r="F95" s="186">
        <v>34.0</v>
      </c>
      <c r="G95" s="186">
        <v>1.0</v>
      </c>
      <c r="H95" s="187"/>
      <c r="I95" s="188" t="s">
        <v>457</v>
      </c>
    </row>
    <row r="96">
      <c r="A96" s="180"/>
      <c r="B96" s="177">
        <v>10.0</v>
      </c>
      <c r="C96" s="179">
        <v>6.0</v>
      </c>
      <c r="D96" s="179">
        <v>343.0</v>
      </c>
      <c r="E96" s="179"/>
      <c r="F96" s="179">
        <v>343.0</v>
      </c>
      <c r="G96" s="179">
        <v>3.0</v>
      </c>
      <c r="H96" s="176"/>
    </row>
    <row r="97">
      <c r="A97" s="181"/>
      <c r="B97" s="177">
        <v>11.0</v>
      </c>
      <c r="C97" s="179">
        <v>1.0</v>
      </c>
      <c r="D97" s="179">
        <v>18.0</v>
      </c>
      <c r="E97" s="179"/>
      <c r="F97" s="179">
        <v>18.0</v>
      </c>
      <c r="G97" s="179">
        <v>1.0</v>
      </c>
      <c r="H97" s="176"/>
    </row>
    <row r="98">
      <c r="A98" s="182"/>
      <c r="B98" s="177">
        <v>12.0</v>
      </c>
      <c r="C98" s="179">
        <v>7.0</v>
      </c>
      <c r="D98" s="179">
        <v>543.0</v>
      </c>
      <c r="E98" s="179"/>
      <c r="F98" s="179">
        <v>523.05</v>
      </c>
      <c r="G98" s="179">
        <v>6.0</v>
      </c>
      <c r="H98" s="176"/>
    </row>
    <row r="99">
      <c r="A99" s="189" t="s">
        <v>453</v>
      </c>
      <c r="B99" s="177"/>
      <c r="C99" s="179">
        <f t="shared" ref="C99:D99" si="23">C95+C96+C97+C98</f>
        <v>16</v>
      </c>
      <c r="D99" s="179">
        <f t="shared" si="23"/>
        <v>938</v>
      </c>
      <c r="E99" s="190">
        <f>D99/D100</f>
        <v>0.1443965517</v>
      </c>
      <c r="F99" s="179">
        <f t="shared" ref="F99:G99" si="24">F95+F96+F97+F98</f>
        <v>918.05</v>
      </c>
      <c r="G99" s="179">
        <f t="shared" si="24"/>
        <v>11</v>
      </c>
      <c r="H99" s="190">
        <f>G99/G100</f>
        <v>0.2619047619</v>
      </c>
    </row>
    <row r="100">
      <c r="A100" s="175" t="s">
        <v>473</v>
      </c>
      <c r="B100" s="122"/>
      <c r="C100" s="179">
        <v>63.0</v>
      </c>
      <c r="D100" s="179">
        <v>6496.0</v>
      </c>
      <c r="E100" s="179"/>
      <c r="F100" s="179">
        <v>5968.15</v>
      </c>
      <c r="G100" s="179">
        <v>42.0</v>
      </c>
      <c r="H100" s="176"/>
    </row>
    <row r="101">
      <c r="A101" s="184">
        <v>45463.0</v>
      </c>
      <c r="B101" s="185">
        <v>9.0</v>
      </c>
      <c r="C101" s="186">
        <v>5.0</v>
      </c>
      <c r="D101" s="186">
        <v>395.0</v>
      </c>
      <c r="E101" s="186"/>
      <c r="F101" s="186">
        <v>395.0</v>
      </c>
      <c r="G101" s="186">
        <v>2.0</v>
      </c>
      <c r="H101" s="187"/>
      <c r="I101" s="188" t="s">
        <v>459</v>
      </c>
    </row>
    <row r="102">
      <c r="A102" s="180"/>
      <c r="B102" s="177">
        <v>10.0</v>
      </c>
      <c r="C102" s="179">
        <v>3.0</v>
      </c>
      <c r="D102" s="179">
        <v>212.0</v>
      </c>
      <c r="E102" s="179"/>
      <c r="F102" s="179">
        <v>212.0</v>
      </c>
      <c r="G102" s="179">
        <v>2.0</v>
      </c>
      <c r="H102" s="176"/>
    </row>
    <row r="103">
      <c r="A103" s="181"/>
      <c r="B103" s="177">
        <v>11.0</v>
      </c>
      <c r="C103" s="179">
        <v>5.0</v>
      </c>
      <c r="D103" s="179">
        <v>279.0</v>
      </c>
      <c r="E103" s="179"/>
      <c r="F103" s="179">
        <v>279.0</v>
      </c>
      <c r="G103" s="179">
        <v>2.0</v>
      </c>
      <c r="H103" s="176"/>
    </row>
    <row r="104">
      <c r="A104" s="182"/>
      <c r="B104" s="177">
        <v>12.0</v>
      </c>
      <c r="C104" s="179">
        <v>9.0</v>
      </c>
      <c r="D104" s="179">
        <v>518.0</v>
      </c>
      <c r="E104" s="179"/>
      <c r="F104" s="179">
        <v>474.05</v>
      </c>
      <c r="G104" s="179">
        <v>5.0</v>
      </c>
      <c r="H104" s="176"/>
    </row>
    <row r="105">
      <c r="A105" s="189" t="s">
        <v>453</v>
      </c>
      <c r="B105" s="177"/>
      <c r="C105" s="179">
        <f t="shared" ref="C105:D105" si="25">C101+C102+C103+C104</f>
        <v>22</v>
      </c>
      <c r="D105" s="179">
        <f t="shared" si="25"/>
        <v>1404</v>
      </c>
      <c r="E105" s="190">
        <f>D105/D106</f>
        <v>0.1367221735</v>
      </c>
      <c r="F105" s="179">
        <f t="shared" ref="F105:G105" si="26">F101+F102+F103+F104</f>
        <v>1360.05</v>
      </c>
      <c r="G105" s="179">
        <f t="shared" si="26"/>
        <v>11</v>
      </c>
      <c r="H105" s="190">
        <f>G105/G106</f>
        <v>0.2619047619</v>
      </c>
    </row>
    <row r="106">
      <c r="A106" s="175" t="s">
        <v>474</v>
      </c>
      <c r="B106" s="122"/>
      <c r="C106" s="179">
        <v>80.0</v>
      </c>
      <c r="D106" s="179">
        <v>10269.0</v>
      </c>
      <c r="E106" s="179"/>
      <c r="F106" s="179">
        <v>10086.35</v>
      </c>
      <c r="G106" s="179">
        <v>42.0</v>
      </c>
      <c r="H106" s="176"/>
    </row>
    <row r="107">
      <c r="A107" s="178">
        <v>45464.0</v>
      </c>
      <c r="B107" s="177">
        <v>9.0</v>
      </c>
      <c r="C107" s="179">
        <v>1.0</v>
      </c>
      <c r="D107" s="179">
        <v>49.0</v>
      </c>
      <c r="E107" s="179"/>
      <c r="F107" s="179">
        <v>49.0</v>
      </c>
      <c r="G107" s="179">
        <v>1.0</v>
      </c>
      <c r="H107" s="176"/>
    </row>
    <row r="108">
      <c r="A108" s="180"/>
      <c r="B108" s="177">
        <v>10.0</v>
      </c>
      <c r="C108" s="179">
        <v>5.0</v>
      </c>
      <c r="D108" s="179">
        <v>250.5</v>
      </c>
      <c r="E108" s="179"/>
      <c r="F108" s="179">
        <v>250.5</v>
      </c>
      <c r="G108" s="179">
        <v>4.0</v>
      </c>
      <c r="H108" s="176"/>
    </row>
    <row r="109">
      <c r="A109" s="181"/>
      <c r="B109" s="177">
        <v>11.0</v>
      </c>
      <c r="C109" s="179">
        <v>17.0</v>
      </c>
      <c r="D109" s="179">
        <v>754.0</v>
      </c>
      <c r="E109" s="179"/>
      <c r="F109" s="179">
        <v>754.0</v>
      </c>
      <c r="G109" s="179">
        <v>7.0</v>
      </c>
      <c r="H109" s="176"/>
    </row>
    <row r="110">
      <c r="A110" s="182"/>
      <c r="B110" s="177">
        <v>12.0</v>
      </c>
      <c r="C110" s="179">
        <v>6.0</v>
      </c>
      <c r="D110" s="179">
        <v>223.0</v>
      </c>
      <c r="E110" s="179"/>
      <c r="F110" s="179">
        <v>223.0</v>
      </c>
      <c r="G110" s="179">
        <v>2.0</v>
      </c>
      <c r="H110" s="176"/>
    </row>
    <row r="111">
      <c r="A111" s="175" t="s">
        <v>475</v>
      </c>
      <c r="B111" s="122"/>
      <c r="C111" s="179">
        <v>116.0</v>
      </c>
      <c r="D111" s="179">
        <v>13524.8</v>
      </c>
      <c r="E111" s="179"/>
      <c r="F111" s="179">
        <v>13221.05</v>
      </c>
      <c r="G111" s="179">
        <v>68.0</v>
      </c>
      <c r="H111" s="176"/>
    </row>
    <row r="112">
      <c r="A112" s="178">
        <v>45465.0</v>
      </c>
      <c r="B112" s="177">
        <v>9.0</v>
      </c>
      <c r="C112" s="179">
        <v>5.0</v>
      </c>
      <c r="D112" s="179">
        <v>274.5</v>
      </c>
      <c r="E112" s="179"/>
      <c r="F112" s="179">
        <v>274.5</v>
      </c>
      <c r="G112" s="179">
        <v>4.0</v>
      </c>
      <c r="H112" s="176"/>
    </row>
    <row r="113">
      <c r="A113" s="180"/>
      <c r="B113" s="177">
        <v>10.0</v>
      </c>
      <c r="C113" s="179">
        <v>9.0</v>
      </c>
      <c r="D113" s="179">
        <v>663.0</v>
      </c>
      <c r="E113" s="179"/>
      <c r="F113" s="179">
        <v>595.0</v>
      </c>
      <c r="G113" s="179">
        <v>5.0</v>
      </c>
      <c r="H113" s="176"/>
    </row>
    <row r="114">
      <c r="A114" s="181"/>
      <c r="B114" s="177">
        <v>11.0</v>
      </c>
      <c r="C114" s="179">
        <v>13.0</v>
      </c>
      <c r="D114" s="179">
        <v>943.0</v>
      </c>
      <c r="E114" s="179"/>
      <c r="F114" s="179">
        <v>943.0</v>
      </c>
      <c r="G114" s="179">
        <v>7.0</v>
      </c>
      <c r="H114" s="176"/>
    </row>
    <row r="115">
      <c r="A115" s="182"/>
      <c r="B115" s="177">
        <v>12.0</v>
      </c>
      <c r="C115" s="179">
        <v>5.0</v>
      </c>
      <c r="D115" s="179">
        <v>753.0</v>
      </c>
      <c r="E115" s="179"/>
      <c r="F115" s="179">
        <v>753.0</v>
      </c>
      <c r="G115" s="179">
        <v>4.0</v>
      </c>
      <c r="H115" s="176"/>
    </row>
    <row r="116">
      <c r="A116" s="175" t="s">
        <v>476</v>
      </c>
      <c r="B116" s="122"/>
      <c r="C116" s="179">
        <v>116.0</v>
      </c>
      <c r="D116" s="179">
        <v>16034.5</v>
      </c>
      <c r="E116" s="179"/>
      <c r="F116" s="179">
        <v>15497.5</v>
      </c>
      <c r="G116" s="179">
        <v>66.0</v>
      </c>
      <c r="H116" s="176"/>
    </row>
    <row r="117">
      <c r="A117" s="178">
        <v>45466.0</v>
      </c>
      <c r="B117" s="177">
        <v>9.0</v>
      </c>
      <c r="C117" s="179">
        <v>1.0</v>
      </c>
      <c r="D117" s="179">
        <v>34.0</v>
      </c>
      <c r="E117" s="179"/>
      <c r="F117" s="179">
        <v>34.0</v>
      </c>
      <c r="G117" s="179">
        <v>1.0</v>
      </c>
      <c r="H117" s="176"/>
    </row>
    <row r="118">
      <c r="A118" s="180"/>
      <c r="B118" s="177">
        <v>10.0</v>
      </c>
      <c r="C118" s="179">
        <v>10.0</v>
      </c>
      <c r="D118" s="179">
        <v>646.0</v>
      </c>
      <c r="E118" s="179"/>
      <c r="F118" s="179">
        <v>646.0</v>
      </c>
      <c r="G118" s="179">
        <v>4.0</v>
      </c>
      <c r="H118" s="176"/>
    </row>
    <row r="119">
      <c r="A119" s="181"/>
      <c r="B119" s="177">
        <v>11.0</v>
      </c>
      <c r="C119" s="179">
        <v>10.0</v>
      </c>
      <c r="D119" s="179">
        <v>807.0</v>
      </c>
      <c r="E119" s="179"/>
      <c r="F119" s="179">
        <v>807.0</v>
      </c>
      <c r="G119" s="179">
        <v>5.0</v>
      </c>
      <c r="H119" s="176"/>
    </row>
    <row r="120">
      <c r="A120" s="182"/>
      <c r="B120" s="177">
        <v>12.0</v>
      </c>
      <c r="C120" s="179">
        <v>7.0</v>
      </c>
      <c r="D120" s="179">
        <v>642.0</v>
      </c>
      <c r="E120" s="179"/>
      <c r="F120" s="179">
        <v>642.0</v>
      </c>
      <c r="G120" s="179">
        <v>6.0</v>
      </c>
      <c r="H120" s="176"/>
    </row>
    <row r="121">
      <c r="A121" s="175" t="s">
        <v>477</v>
      </c>
      <c r="B121" s="122"/>
      <c r="C121" s="179">
        <v>110.0</v>
      </c>
      <c r="D121" s="179">
        <v>18931.0</v>
      </c>
      <c r="E121" s="179"/>
      <c r="F121" s="179">
        <v>18569.5</v>
      </c>
      <c r="G121" s="179">
        <v>73.0</v>
      </c>
      <c r="H121" s="176"/>
    </row>
    <row r="122">
      <c r="A122" s="184">
        <v>45467.0</v>
      </c>
      <c r="B122" s="185">
        <v>10.0</v>
      </c>
      <c r="C122" s="186">
        <v>4.0</v>
      </c>
      <c r="D122" s="186">
        <v>265.0</v>
      </c>
      <c r="E122" s="186"/>
      <c r="F122" s="186">
        <v>265.0</v>
      </c>
      <c r="G122" s="186">
        <v>4.0</v>
      </c>
      <c r="H122" s="187"/>
      <c r="I122" s="188" t="s">
        <v>452</v>
      </c>
    </row>
    <row r="123">
      <c r="A123" s="180"/>
      <c r="B123" s="177">
        <v>11.0</v>
      </c>
      <c r="C123" s="179">
        <v>7.0</v>
      </c>
      <c r="D123" s="179">
        <v>543.0</v>
      </c>
      <c r="E123" s="179"/>
      <c r="F123" s="179">
        <v>543.0</v>
      </c>
      <c r="G123" s="179">
        <v>4.0</v>
      </c>
      <c r="H123" s="176"/>
    </row>
    <row r="124">
      <c r="A124" s="182"/>
      <c r="B124" s="177">
        <v>12.0</v>
      </c>
      <c r="C124" s="179">
        <v>4.0</v>
      </c>
      <c r="D124" s="179">
        <v>604.0</v>
      </c>
      <c r="E124" s="179"/>
      <c r="F124" s="179">
        <v>590.35</v>
      </c>
      <c r="G124" s="179">
        <v>4.0</v>
      </c>
      <c r="H124" s="176"/>
    </row>
    <row r="125">
      <c r="A125" s="189" t="s">
        <v>453</v>
      </c>
      <c r="B125" s="177"/>
      <c r="C125" s="179">
        <f t="shared" ref="C125:D125" si="27">C122+C123+C124</f>
        <v>15</v>
      </c>
      <c r="D125" s="179">
        <f t="shared" si="27"/>
        <v>1412</v>
      </c>
      <c r="E125" s="190">
        <f>D125/D126</f>
        <v>0.2431761701</v>
      </c>
      <c r="F125" s="179">
        <f t="shared" ref="F125:G125" si="28">F122+F123+F124</f>
        <v>1398.35</v>
      </c>
      <c r="G125" s="179">
        <f t="shared" si="28"/>
        <v>12</v>
      </c>
      <c r="H125" s="190">
        <f>G125/G126</f>
        <v>0.2790697674</v>
      </c>
    </row>
    <row r="126">
      <c r="A126" s="175" t="s">
        <v>478</v>
      </c>
      <c r="B126" s="122"/>
      <c r="C126" s="179">
        <v>55.0</v>
      </c>
      <c r="D126" s="179">
        <v>5806.49</v>
      </c>
      <c r="E126" s="179"/>
      <c r="F126" s="179">
        <v>5526.14</v>
      </c>
      <c r="G126" s="179">
        <v>43.0</v>
      </c>
      <c r="H126" s="176"/>
    </row>
    <row r="127">
      <c r="A127" s="184">
        <v>45468.0</v>
      </c>
      <c r="B127" s="185">
        <v>9.0</v>
      </c>
      <c r="C127" s="186">
        <v>3.0</v>
      </c>
      <c r="D127" s="186">
        <v>152.0</v>
      </c>
      <c r="E127" s="186"/>
      <c r="F127" s="186">
        <v>152.0</v>
      </c>
      <c r="G127" s="186">
        <v>2.0</v>
      </c>
      <c r="H127" s="187"/>
      <c r="I127" s="188" t="s">
        <v>455</v>
      </c>
    </row>
    <row r="128">
      <c r="A128" s="180"/>
      <c r="B128" s="177">
        <v>10.0</v>
      </c>
      <c r="C128" s="179">
        <v>3.0</v>
      </c>
      <c r="D128" s="179">
        <v>317.0</v>
      </c>
      <c r="E128" s="179"/>
      <c r="F128" s="179">
        <v>317.0</v>
      </c>
      <c r="G128" s="179">
        <v>3.0</v>
      </c>
      <c r="H128" s="176"/>
    </row>
    <row r="129">
      <c r="A129" s="181"/>
      <c r="B129" s="177">
        <v>11.0</v>
      </c>
      <c r="C129" s="179">
        <v>5.0</v>
      </c>
      <c r="D129" s="179">
        <v>408.0</v>
      </c>
      <c r="E129" s="179"/>
      <c r="F129" s="179">
        <v>408.0</v>
      </c>
      <c r="G129" s="179">
        <v>6.0</v>
      </c>
      <c r="H129" s="176"/>
    </row>
    <row r="130">
      <c r="A130" s="182"/>
      <c r="B130" s="177">
        <v>12.0</v>
      </c>
      <c r="C130" s="179">
        <v>2.0</v>
      </c>
      <c r="D130" s="179">
        <v>36.0</v>
      </c>
      <c r="E130" s="179"/>
      <c r="F130" s="179">
        <v>30.6</v>
      </c>
      <c r="G130" s="179">
        <v>2.0</v>
      </c>
      <c r="H130" s="176"/>
    </row>
    <row r="131">
      <c r="A131" s="189" t="s">
        <v>453</v>
      </c>
      <c r="B131" s="177"/>
      <c r="C131" s="179">
        <f t="shared" ref="C131:D131" si="29">C127+C128+C129+C130</f>
        <v>13</v>
      </c>
      <c r="D131" s="179">
        <f t="shared" si="29"/>
        <v>913</v>
      </c>
      <c r="E131" s="190">
        <f>D131/D132</f>
        <v>0.1903272879</v>
      </c>
      <c r="F131" s="179">
        <f t="shared" ref="F131:G131" si="30">F127+F128+F129+F130</f>
        <v>907.6</v>
      </c>
      <c r="G131" s="179">
        <f t="shared" si="30"/>
        <v>13</v>
      </c>
      <c r="H131" s="190">
        <f>G131/G132</f>
        <v>0.3421052632</v>
      </c>
    </row>
    <row r="132">
      <c r="A132" s="175" t="s">
        <v>479</v>
      </c>
      <c r="B132" s="122"/>
      <c r="C132" s="179">
        <v>38.0</v>
      </c>
      <c r="D132" s="179">
        <v>4797.0</v>
      </c>
      <c r="E132" s="179"/>
      <c r="F132" s="179">
        <v>4586.3</v>
      </c>
      <c r="G132" s="179">
        <v>38.0</v>
      </c>
      <c r="H132" s="176"/>
    </row>
    <row r="133">
      <c r="A133" s="184">
        <v>45469.0</v>
      </c>
      <c r="B133" s="185">
        <v>9.0</v>
      </c>
      <c r="C133" s="186">
        <v>6.0</v>
      </c>
      <c r="D133" s="186">
        <v>280.5</v>
      </c>
      <c r="E133" s="186"/>
      <c r="F133" s="186">
        <v>280.5</v>
      </c>
      <c r="G133" s="186">
        <v>5.0</v>
      </c>
      <c r="H133" s="187"/>
      <c r="I133" s="188" t="s">
        <v>457</v>
      </c>
    </row>
    <row r="134">
      <c r="A134" s="180"/>
      <c r="B134" s="177">
        <v>10.0</v>
      </c>
      <c r="C134" s="179">
        <v>7.0</v>
      </c>
      <c r="D134" s="179">
        <v>435.0</v>
      </c>
      <c r="E134" s="179"/>
      <c r="F134" s="179">
        <v>435.0</v>
      </c>
      <c r="G134" s="179">
        <v>5.0</v>
      </c>
      <c r="H134" s="176"/>
    </row>
    <row r="135">
      <c r="A135" s="181"/>
      <c r="B135" s="177">
        <v>11.0</v>
      </c>
      <c r="C135" s="179">
        <v>6.0</v>
      </c>
      <c r="D135" s="179">
        <v>379.0</v>
      </c>
      <c r="E135" s="179"/>
      <c r="F135" s="179">
        <v>379.0</v>
      </c>
      <c r="G135" s="179">
        <v>4.0</v>
      </c>
      <c r="H135" s="176"/>
    </row>
    <row r="136">
      <c r="A136" s="182"/>
      <c r="B136" s="177">
        <v>12.0</v>
      </c>
      <c r="C136" s="179">
        <v>5.0</v>
      </c>
      <c r="D136" s="179">
        <v>397.0</v>
      </c>
      <c r="E136" s="179"/>
      <c r="F136" s="179">
        <v>364.9</v>
      </c>
      <c r="G136" s="179">
        <v>4.0</v>
      </c>
      <c r="H136" s="176"/>
    </row>
    <row r="137">
      <c r="A137" s="189" t="s">
        <v>453</v>
      </c>
      <c r="B137" s="177"/>
      <c r="C137" s="179">
        <f t="shared" ref="C137:D137" si="31">C133+C134+C135+C136</f>
        <v>24</v>
      </c>
      <c r="D137" s="179">
        <f t="shared" si="31"/>
        <v>1491.5</v>
      </c>
      <c r="E137" s="190">
        <f>D137/D138</f>
        <v>0.1490680126</v>
      </c>
      <c r="F137" s="179">
        <f t="shared" ref="F137:G137" si="32">F133+F134+F135+F136</f>
        <v>1459.4</v>
      </c>
      <c r="G137" s="179">
        <f t="shared" si="32"/>
        <v>18</v>
      </c>
      <c r="H137" s="190">
        <f>G137/G138</f>
        <v>0.3214285714</v>
      </c>
    </row>
    <row r="138">
      <c r="A138" s="175" t="s">
        <v>480</v>
      </c>
      <c r="B138" s="122"/>
      <c r="C138" s="179">
        <v>87.0</v>
      </c>
      <c r="D138" s="179">
        <v>10005.5</v>
      </c>
      <c r="E138" s="179"/>
      <c r="F138" s="179">
        <v>9677.3</v>
      </c>
      <c r="G138" s="179">
        <v>56.0</v>
      </c>
      <c r="H138" s="176"/>
    </row>
    <row r="139">
      <c r="A139" s="184">
        <v>45470.0</v>
      </c>
      <c r="B139" s="185">
        <v>9.0</v>
      </c>
      <c r="C139" s="186">
        <v>4.0</v>
      </c>
      <c r="D139" s="186">
        <v>264.5</v>
      </c>
      <c r="E139" s="186"/>
      <c r="F139" s="186">
        <v>264.5</v>
      </c>
      <c r="G139" s="186">
        <v>4.0</v>
      </c>
      <c r="H139" s="187"/>
      <c r="I139" s="188" t="s">
        <v>459</v>
      </c>
    </row>
    <row r="140">
      <c r="A140" s="180"/>
      <c r="B140" s="177">
        <v>10.0</v>
      </c>
      <c r="C140" s="179">
        <v>5.0</v>
      </c>
      <c r="D140" s="179">
        <v>342.0</v>
      </c>
      <c r="E140" s="179"/>
      <c r="F140" s="179">
        <v>342.0</v>
      </c>
      <c r="G140" s="179">
        <v>5.0</v>
      </c>
      <c r="H140" s="176"/>
    </row>
    <row r="141">
      <c r="A141" s="181"/>
      <c r="B141" s="177">
        <v>11.0</v>
      </c>
      <c r="C141" s="179">
        <v>4.0</v>
      </c>
      <c r="D141" s="179">
        <v>548.0</v>
      </c>
      <c r="E141" s="179"/>
      <c r="F141" s="179">
        <v>548.0</v>
      </c>
      <c r="G141" s="179">
        <v>4.0</v>
      </c>
      <c r="H141" s="176"/>
    </row>
    <row r="142">
      <c r="A142" s="182"/>
      <c r="B142" s="177">
        <v>12.0</v>
      </c>
      <c r="C142" s="179">
        <v>1.0</v>
      </c>
      <c r="D142" s="179">
        <v>162.0</v>
      </c>
      <c r="E142" s="179"/>
      <c r="F142" s="179">
        <v>140.55</v>
      </c>
      <c r="G142" s="179">
        <v>1.0</v>
      </c>
      <c r="H142" s="176"/>
    </row>
    <row r="143">
      <c r="A143" s="189" t="s">
        <v>453</v>
      </c>
      <c r="B143" s="177"/>
      <c r="C143" s="179">
        <f t="shared" ref="C143:D143" si="33">C139+C140+C141+C142</f>
        <v>14</v>
      </c>
      <c r="D143" s="179">
        <f t="shared" si="33"/>
        <v>1316.5</v>
      </c>
      <c r="E143" s="190">
        <f>D143/D144</f>
        <v>0.1292206517</v>
      </c>
      <c r="F143" s="179">
        <f t="shared" ref="F143:G143" si="34">F139+F140+F141+F142</f>
        <v>1295.05</v>
      </c>
      <c r="G143" s="179">
        <f t="shared" si="34"/>
        <v>14</v>
      </c>
      <c r="H143" s="190">
        <f>G143/G144</f>
        <v>0.1971830986</v>
      </c>
    </row>
    <row r="144">
      <c r="A144" s="175" t="s">
        <v>481</v>
      </c>
      <c r="B144" s="122"/>
      <c r="C144" s="179">
        <v>92.0</v>
      </c>
      <c r="D144" s="179">
        <v>10188.0</v>
      </c>
      <c r="E144" s="179"/>
      <c r="F144" s="179">
        <v>9760.35</v>
      </c>
      <c r="G144" s="179">
        <v>71.0</v>
      </c>
      <c r="H144" s="176"/>
    </row>
    <row r="145">
      <c r="A145" s="178">
        <v>45471.0</v>
      </c>
      <c r="B145" s="177">
        <v>9.0</v>
      </c>
      <c r="C145" s="179">
        <v>1.0</v>
      </c>
      <c r="D145" s="179">
        <v>39.0</v>
      </c>
      <c r="E145" s="179"/>
      <c r="F145" s="179">
        <v>39.0</v>
      </c>
      <c r="G145" s="179">
        <v>1.0</v>
      </c>
      <c r="H145" s="176"/>
    </row>
    <row r="146">
      <c r="A146" s="180"/>
      <c r="B146" s="177">
        <v>10.0</v>
      </c>
      <c r="C146" s="179">
        <v>4.0</v>
      </c>
      <c r="D146" s="179">
        <v>157.0</v>
      </c>
      <c r="E146" s="179"/>
      <c r="F146" s="179">
        <v>157.0</v>
      </c>
      <c r="G146" s="179">
        <v>3.0</v>
      </c>
      <c r="H146" s="176"/>
    </row>
    <row r="147">
      <c r="A147" s="181"/>
      <c r="B147" s="177">
        <v>11.0</v>
      </c>
      <c r="C147" s="179">
        <v>7.0</v>
      </c>
      <c r="D147" s="179">
        <v>979.0</v>
      </c>
      <c r="E147" s="179"/>
      <c r="F147" s="179">
        <v>979.0</v>
      </c>
      <c r="G147" s="179">
        <v>4.0</v>
      </c>
      <c r="H147" s="176"/>
    </row>
    <row r="148">
      <c r="A148" s="182"/>
      <c r="B148" s="177">
        <v>12.0</v>
      </c>
      <c r="C148" s="179">
        <v>4.0</v>
      </c>
      <c r="D148" s="179">
        <v>132.0</v>
      </c>
      <c r="E148" s="179"/>
      <c r="F148" s="179">
        <v>132.0</v>
      </c>
      <c r="G148" s="179">
        <v>5.0</v>
      </c>
      <c r="H148" s="176"/>
    </row>
    <row r="149">
      <c r="A149" s="175" t="s">
        <v>482</v>
      </c>
      <c r="B149" s="122"/>
      <c r="C149" s="179">
        <v>92.0</v>
      </c>
      <c r="D149" s="179">
        <v>14582.0</v>
      </c>
      <c r="E149" s="179"/>
      <c r="F149" s="179">
        <v>12926.5</v>
      </c>
      <c r="G149" s="179">
        <v>69.0</v>
      </c>
      <c r="H149" s="176"/>
    </row>
    <row r="150">
      <c r="A150" s="178">
        <v>45472.0</v>
      </c>
      <c r="B150" s="177">
        <v>9.0</v>
      </c>
      <c r="C150" s="179">
        <v>4.0</v>
      </c>
      <c r="D150" s="179">
        <v>208.5</v>
      </c>
      <c r="E150" s="179"/>
      <c r="F150" s="179">
        <v>208.5</v>
      </c>
      <c r="G150" s="179">
        <v>4.0</v>
      </c>
      <c r="H150" s="176"/>
    </row>
    <row r="151">
      <c r="A151" s="180"/>
      <c r="B151" s="177">
        <v>10.0</v>
      </c>
      <c r="C151" s="179">
        <v>16.0</v>
      </c>
      <c r="D151" s="179">
        <v>1056.0</v>
      </c>
      <c r="E151" s="179"/>
      <c r="F151" s="179">
        <v>1056.0</v>
      </c>
      <c r="G151" s="179">
        <v>9.0</v>
      </c>
      <c r="H151" s="176"/>
    </row>
    <row r="152">
      <c r="A152" s="181"/>
      <c r="B152" s="177">
        <v>11.0</v>
      </c>
      <c r="C152" s="179">
        <v>7.0</v>
      </c>
      <c r="D152" s="179">
        <v>662.0</v>
      </c>
      <c r="E152" s="179"/>
      <c r="F152" s="179">
        <v>569.5</v>
      </c>
      <c r="G152" s="179">
        <v>6.0</v>
      </c>
      <c r="H152" s="176"/>
    </row>
    <row r="153">
      <c r="A153" s="182"/>
      <c r="B153" s="177">
        <v>12.0</v>
      </c>
      <c r="C153" s="179">
        <v>5.0</v>
      </c>
      <c r="D153" s="179">
        <v>549.0</v>
      </c>
      <c r="E153" s="179"/>
      <c r="F153" s="179">
        <v>549.0</v>
      </c>
      <c r="G153" s="179">
        <v>5.0</v>
      </c>
      <c r="H153" s="176"/>
    </row>
    <row r="154">
      <c r="A154" s="175" t="s">
        <v>483</v>
      </c>
      <c r="B154" s="122"/>
      <c r="C154" s="179">
        <v>126.0</v>
      </c>
      <c r="D154" s="179">
        <v>14123.5</v>
      </c>
      <c r="E154" s="179"/>
      <c r="F154" s="179">
        <v>13523.0</v>
      </c>
      <c r="G154" s="179">
        <v>87.0</v>
      </c>
      <c r="H154" s="176"/>
    </row>
    <row r="155">
      <c r="A155" s="178">
        <v>45473.0</v>
      </c>
      <c r="B155" s="177">
        <v>9.0</v>
      </c>
      <c r="C155" s="179">
        <v>1.0</v>
      </c>
      <c r="D155" s="179">
        <v>17.0</v>
      </c>
      <c r="E155" s="179"/>
      <c r="F155" s="179">
        <v>17.0</v>
      </c>
      <c r="G155" s="179">
        <v>1.0</v>
      </c>
      <c r="H155" s="176"/>
    </row>
    <row r="156">
      <c r="A156" s="180"/>
      <c r="B156" s="177">
        <v>10.0</v>
      </c>
      <c r="C156" s="179">
        <v>12.0</v>
      </c>
      <c r="D156" s="179">
        <v>899.0</v>
      </c>
      <c r="E156" s="179"/>
      <c r="F156" s="179">
        <v>899.0</v>
      </c>
      <c r="G156" s="179">
        <v>7.0</v>
      </c>
      <c r="H156" s="176"/>
    </row>
    <row r="157">
      <c r="A157" s="181"/>
      <c r="B157" s="177">
        <v>11.0</v>
      </c>
      <c r="C157" s="179">
        <v>7.0</v>
      </c>
      <c r="D157" s="179">
        <v>990.0</v>
      </c>
      <c r="E157" s="179"/>
      <c r="F157" s="179">
        <v>990.0</v>
      </c>
      <c r="G157" s="179">
        <v>5.0</v>
      </c>
      <c r="H157" s="176"/>
    </row>
    <row r="158">
      <c r="A158" s="182"/>
      <c r="B158" s="177">
        <v>12.0</v>
      </c>
      <c r="C158" s="179">
        <v>20.0</v>
      </c>
      <c r="D158" s="179">
        <v>1682.0</v>
      </c>
      <c r="E158" s="179"/>
      <c r="F158" s="179">
        <v>1682.0</v>
      </c>
      <c r="G158" s="179">
        <v>9.0</v>
      </c>
      <c r="H158" s="176"/>
    </row>
    <row r="159">
      <c r="A159" s="175" t="s">
        <v>484</v>
      </c>
      <c r="B159" s="122"/>
      <c r="C159" s="179">
        <v>98.0</v>
      </c>
      <c r="D159" s="179">
        <v>10563.0</v>
      </c>
      <c r="E159" s="179"/>
      <c r="F159" s="179">
        <v>10343.5</v>
      </c>
      <c r="G159" s="179">
        <v>54.0</v>
      </c>
      <c r="H159" s="176"/>
    </row>
    <row r="160">
      <c r="A160" s="175" t="s">
        <v>441</v>
      </c>
      <c r="B160" s="122"/>
      <c r="C160" s="179">
        <v>2869.0</v>
      </c>
      <c r="D160" s="179">
        <v>347111.28</v>
      </c>
      <c r="E160" s="179"/>
      <c r="F160" s="179">
        <v>335231.35</v>
      </c>
      <c r="G160" s="179">
        <v>1791.0</v>
      </c>
      <c r="H160" s="193"/>
    </row>
  </sheetData>
  <mergeCells count="63">
    <mergeCell ref="A94:B94"/>
    <mergeCell ref="A100:B100"/>
    <mergeCell ref="A106:B106"/>
    <mergeCell ref="A111:B111"/>
    <mergeCell ref="A116:B116"/>
    <mergeCell ref="A121:B121"/>
    <mergeCell ref="A126:B126"/>
    <mergeCell ref="A151:A153"/>
    <mergeCell ref="A154:B154"/>
    <mergeCell ref="A156:A158"/>
    <mergeCell ref="A159:B159"/>
    <mergeCell ref="A160:B160"/>
    <mergeCell ref="A123:A124"/>
    <mergeCell ref="A128:A130"/>
    <mergeCell ref="A132:B132"/>
    <mergeCell ref="A134:A136"/>
    <mergeCell ref="A138:B138"/>
    <mergeCell ref="A140:A142"/>
    <mergeCell ref="A144:B144"/>
    <mergeCell ref="A1:H1"/>
    <mergeCell ref="A2:H2"/>
    <mergeCell ref="A3:H3"/>
    <mergeCell ref="C4:G4"/>
    <mergeCell ref="A7:A9"/>
    <mergeCell ref="A11:B11"/>
    <mergeCell ref="A15:B15"/>
    <mergeCell ref="A13:A14"/>
    <mergeCell ref="A17:A18"/>
    <mergeCell ref="A20:B20"/>
    <mergeCell ref="A22:A24"/>
    <mergeCell ref="A26:B26"/>
    <mergeCell ref="A28:A30"/>
    <mergeCell ref="A32:B32"/>
    <mergeCell ref="A36:B36"/>
    <mergeCell ref="A38:A40"/>
    <mergeCell ref="A41:B41"/>
    <mergeCell ref="A43:A44"/>
    <mergeCell ref="A45:B45"/>
    <mergeCell ref="A47:A48"/>
    <mergeCell ref="A49:B49"/>
    <mergeCell ref="A51:A53"/>
    <mergeCell ref="A55:B55"/>
    <mergeCell ref="A59:B59"/>
    <mergeCell ref="A61:A63"/>
    <mergeCell ref="A65:B65"/>
    <mergeCell ref="A67:A68"/>
    <mergeCell ref="A70:B70"/>
    <mergeCell ref="A72:A74"/>
    <mergeCell ref="A75:B75"/>
    <mergeCell ref="A77:A79"/>
    <mergeCell ref="A80:B80"/>
    <mergeCell ref="A82:A83"/>
    <mergeCell ref="A84:B84"/>
    <mergeCell ref="A89:B89"/>
    <mergeCell ref="A86:A87"/>
    <mergeCell ref="A91:A92"/>
    <mergeCell ref="A96:A98"/>
    <mergeCell ref="A102:A104"/>
    <mergeCell ref="A108:A110"/>
    <mergeCell ref="A113:A115"/>
    <mergeCell ref="A118:A120"/>
    <mergeCell ref="A146:A148"/>
    <mergeCell ref="A149:B14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6.25"/>
  </cols>
  <sheetData>
    <row r="1">
      <c r="A1" s="194" t="s">
        <v>438</v>
      </c>
      <c r="B1" s="195"/>
      <c r="C1" s="195"/>
      <c r="D1" s="195"/>
      <c r="E1" s="195"/>
      <c r="F1" s="195"/>
      <c r="G1" s="196"/>
      <c r="H1" s="197"/>
      <c r="I1" s="198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</row>
    <row r="2">
      <c r="A2" s="199"/>
      <c r="B2" s="200" t="s">
        <v>444</v>
      </c>
      <c r="C2" s="201" t="s">
        <v>485</v>
      </c>
      <c r="D2" s="200" t="s">
        <v>446</v>
      </c>
      <c r="E2" s="202" t="s">
        <v>486</v>
      </c>
      <c r="F2" s="202" t="s">
        <v>447</v>
      </c>
      <c r="G2" s="203" t="s">
        <v>487</v>
      </c>
      <c r="H2" s="204"/>
      <c r="I2" s="205" t="s">
        <v>488</v>
      </c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>
      <c r="A3" s="206">
        <v>45446.0</v>
      </c>
      <c r="B3" s="207"/>
      <c r="C3" s="207"/>
      <c r="D3" s="207"/>
      <c r="E3" s="207"/>
      <c r="F3" s="207"/>
      <c r="G3" s="208"/>
      <c r="H3" s="209" t="s">
        <v>452</v>
      </c>
      <c r="I3" s="205" t="s">
        <v>489</v>
      </c>
      <c r="J3" s="210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</row>
    <row r="4">
      <c r="A4" s="211" t="s">
        <v>453</v>
      </c>
      <c r="B4" s="212">
        <v>8.0</v>
      </c>
      <c r="C4" s="213">
        <f>B4/B5</f>
        <v>0.2424242424</v>
      </c>
      <c r="D4" s="212">
        <f>2296.1-1890</f>
        <v>406.1</v>
      </c>
      <c r="E4" s="213">
        <f>D4/D5</f>
        <v>0.09677342484</v>
      </c>
      <c r="F4" s="212">
        <v>7.0</v>
      </c>
      <c r="G4" s="214">
        <v>0.25</v>
      </c>
      <c r="H4" s="197"/>
      <c r="I4" s="198"/>
      <c r="J4" s="209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>
      <c r="A5" s="215" t="s">
        <v>490</v>
      </c>
      <c r="B5" s="216">
        <v>33.0</v>
      </c>
      <c r="C5" s="216"/>
      <c r="D5" s="216">
        <v>4196.4</v>
      </c>
      <c r="E5" s="216"/>
      <c r="F5" s="216">
        <v>28.0</v>
      </c>
      <c r="G5" s="217"/>
      <c r="H5" s="197"/>
      <c r="I5" s="198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>
      <c r="A6" s="218">
        <v>45447.0</v>
      </c>
      <c r="B6" s="219"/>
      <c r="C6" s="219"/>
      <c r="D6" s="219"/>
      <c r="E6" s="219"/>
      <c r="F6" s="219"/>
      <c r="G6" s="220"/>
      <c r="H6" s="204" t="s">
        <v>455</v>
      </c>
      <c r="I6" s="221">
        <v>45391.0</v>
      </c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>
      <c r="A7" s="211" t="s">
        <v>453</v>
      </c>
      <c r="B7" s="212">
        <v>16.0</v>
      </c>
      <c r="C7" s="213">
        <f>B7/B8</f>
        <v>0.2807017544</v>
      </c>
      <c r="D7" s="212">
        <v>845.0</v>
      </c>
      <c r="E7" s="213">
        <f>D7/D8</f>
        <v>0.1594580314</v>
      </c>
      <c r="F7" s="212">
        <v>12.0</v>
      </c>
      <c r="G7" s="214">
        <v>0.35294117647058826</v>
      </c>
      <c r="H7" s="197"/>
      <c r="I7" s="221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>
      <c r="A8" s="222" t="s">
        <v>490</v>
      </c>
      <c r="B8" s="223">
        <v>57.0</v>
      </c>
      <c r="C8" s="223"/>
      <c r="D8" s="223">
        <v>5299.2</v>
      </c>
      <c r="E8" s="223"/>
      <c r="F8" s="223">
        <v>34.0</v>
      </c>
      <c r="G8" s="224"/>
      <c r="H8" s="197"/>
      <c r="I8" s="198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>
      <c r="A9" s="225">
        <v>45448.0</v>
      </c>
      <c r="B9" s="207"/>
      <c r="C9" s="207"/>
      <c r="D9" s="207"/>
      <c r="E9" s="207"/>
      <c r="F9" s="207"/>
      <c r="G9" s="226"/>
      <c r="H9" s="204" t="s">
        <v>457</v>
      </c>
      <c r="I9" s="221">
        <v>45452.0</v>
      </c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>
      <c r="A10" s="211" t="s">
        <v>453</v>
      </c>
      <c r="B10" s="212">
        <v>10.0</v>
      </c>
      <c r="C10" s="213">
        <f>B10/B11</f>
        <v>0.1123595506</v>
      </c>
      <c r="D10" s="212">
        <v>350.0</v>
      </c>
      <c r="E10" s="213">
        <f>D10/D11</f>
        <v>0.04173548052</v>
      </c>
      <c r="F10" s="212">
        <v>7.0</v>
      </c>
      <c r="G10" s="214">
        <v>0.13725490196078433</v>
      </c>
      <c r="H10" s="197"/>
      <c r="I10" s="198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>
      <c r="A11" s="215" t="s">
        <v>490</v>
      </c>
      <c r="B11" s="216">
        <v>89.0</v>
      </c>
      <c r="C11" s="216"/>
      <c r="D11" s="216">
        <v>8386.15</v>
      </c>
      <c r="E11" s="216"/>
      <c r="F11" s="216">
        <v>51.0</v>
      </c>
      <c r="G11" s="217"/>
      <c r="H11" s="197"/>
      <c r="I11" s="198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>
      <c r="A12" s="218">
        <v>45449.0</v>
      </c>
      <c r="B12" s="219"/>
      <c r="C12" s="219"/>
      <c r="D12" s="219"/>
      <c r="E12" s="219"/>
      <c r="F12" s="219"/>
      <c r="G12" s="220"/>
      <c r="H12" s="204" t="s">
        <v>459</v>
      </c>
      <c r="I12" s="221">
        <v>45514.0</v>
      </c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>
      <c r="A13" s="211" t="s">
        <v>453</v>
      </c>
      <c r="B13" s="212">
        <v>10.0</v>
      </c>
      <c r="C13" s="213">
        <f>B13/B14</f>
        <v>0.1052631579</v>
      </c>
      <c r="D13" s="212">
        <v>326.0</v>
      </c>
      <c r="E13" s="213">
        <f>D13/D14</f>
        <v>0.02971957846</v>
      </c>
      <c r="F13" s="212">
        <v>8.0</v>
      </c>
      <c r="G13" s="214">
        <v>0.14285714285714285</v>
      </c>
      <c r="H13" s="197"/>
      <c r="I13" s="198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>
      <c r="A14" s="222" t="s">
        <v>490</v>
      </c>
      <c r="B14" s="223">
        <v>95.0</v>
      </c>
      <c r="C14" s="223"/>
      <c r="D14" s="223">
        <v>10969.2</v>
      </c>
      <c r="E14" s="223"/>
      <c r="F14" s="223">
        <v>56.0</v>
      </c>
      <c r="G14" s="224"/>
      <c r="H14" s="197"/>
      <c r="I14" s="198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>
      <c r="A15" s="225">
        <v>45453.0</v>
      </c>
      <c r="B15" s="207"/>
      <c r="C15" s="207"/>
      <c r="D15" s="207"/>
      <c r="E15" s="207"/>
      <c r="F15" s="207"/>
      <c r="G15" s="226"/>
      <c r="H15" s="204" t="s">
        <v>452</v>
      </c>
      <c r="I15" s="205" t="s">
        <v>491</v>
      </c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>
      <c r="A16" s="211" t="s">
        <v>453</v>
      </c>
      <c r="B16" s="212">
        <v>17.0</v>
      </c>
      <c r="C16" s="213">
        <f>B16/B17</f>
        <v>0.3035714286</v>
      </c>
      <c r="D16" s="212">
        <v>1366.47</v>
      </c>
      <c r="E16" s="213">
        <f>D16/D17</f>
        <v>0.2731099239</v>
      </c>
      <c r="F16" s="212">
        <v>13.0</v>
      </c>
      <c r="G16" s="214">
        <v>0.325</v>
      </c>
      <c r="H16" s="197"/>
      <c r="I16" s="198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>
      <c r="A17" s="215" t="s">
        <v>490</v>
      </c>
      <c r="B17" s="216">
        <v>56.0</v>
      </c>
      <c r="C17" s="216"/>
      <c r="D17" s="216">
        <v>5003.37</v>
      </c>
      <c r="E17" s="216"/>
      <c r="F17" s="216">
        <v>40.0</v>
      </c>
      <c r="G17" s="217"/>
      <c r="H17" s="197"/>
      <c r="I17" s="198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>
      <c r="A18" s="218">
        <v>45454.0</v>
      </c>
      <c r="B18" s="219"/>
      <c r="C18" s="219"/>
      <c r="D18" s="219"/>
      <c r="E18" s="219"/>
      <c r="F18" s="219"/>
      <c r="G18" s="220"/>
      <c r="H18" s="204" t="s">
        <v>455</v>
      </c>
      <c r="I18" s="205" t="s">
        <v>492</v>
      </c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>
      <c r="A19" s="211" t="s">
        <v>453</v>
      </c>
      <c r="B19" s="212">
        <v>11.0</v>
      </c>
      <c r="C19" s="213">
        <f>B19/B20</f>
        <v>0.1428571429</v>
      </c>
      <c r="D19" s="212">
        <v>906.25</v>
      </c>
      <c r="E19" s="213">
        <f>D19/D20</f>
        <v>0.09736562201</v>
      </c>
      <c r="F19" s="212">
        <v>7.0</v>
      </c>
      <c r="G19" s="214">
        <v>0.15555555555555556</v>
      </c>
      <c r="H19" s="197"/>
      <c r="I19" s="198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>
      <c r="A20" s="222" t="s">
        <v>490</v>
      </c>
      <c r="B20" s="223">
        <v>77.0</v>
      </c>
      <c r="C20" s="223"/>
      <c r="D20" s="223">
        <v>9307.7</v>
      </c>
      <c r="E20" s="223"/>
      <c r="F20" s="223">
        <v>45.0</v>
      </c>
      <c r="G20" s="224"/>
      <c r="H20" s="197"/>
      <c r="I20" s="198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>
      <c r="A21" s="225">
        <v>45455.0</v>
      </c>
      <c r="B21" s="207"/>
      <c r="C21" s="207"/>
      <c r="D21" s="207"/>
      <c r="E21" s="207"/>
      <c r="F21" s="207"/>
      <c r="G21" s="226"/>
      <c r="H21" s="204" t="s">
        <v>457</v>
      </c>
      <c r="I21" s="205" t="s">
        <v>493</v>
      </c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>
      <c r="A22" s="211" t="s">
        <v>453</v>
      </c>
      <c r="B22" s="212">
        <v>17.0</v>
      </c>
      <c r="C22" s="213">
        <f>B22/B23</f>
        <v>0.2207792208</v>
      </c>
      <c r="D22" s="212">
        <v>1234.5</v>
      </c>
      <c r="E22" s="213">
        <f>D22/D23</f>
        <v>0.1670681535</v>
      </c>
      <c r="F22" s="212">
        <v>11.0</v>
      </c>
      <c r="G22" s="214">
        <v>0.28205128205128205</v>
      </c>
      <c r="H22" s="197"/>
      <c r="I22" s="198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>
      <c r="A23" s="215" t="s">
        <v>490</v>
      </c>
      <c r="B23" s="216">
        <v>77.0</v>
      </c>
      <c r="C23" s="216"/>
      <c r="D23" s="216">
        <v>7389.2</v>
      </c>
      <c r="E23" s="216"/>
      <c r="F23" s="216">
        <v>39.0</v>
      </c>
      <c r="G23" s="217"/>
      <c r="H23" s="197"/>
      <c r="I23" s="198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>
      <c r="A24" s="218">
        <v>45456.0</v>
      </c>
      <c r="B24" s="219"/>
      <c r="C24" s="219"/>
      <c r="D24" s="219"/>
      <c r="E24" s="219"/>
      <c r="F24" s="219"/>
      <c r="G24" s="220"/>
      <c r="H24" s="204" t="s">
        <v>459</v>
      </c>
      <c r="I24" s="205" t="s">
        <v>494</v>
      </c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>
      <c r="A25" s="211" t="s">
        <v>453</v>
      </c>
      <c r="B25" s="212">
        <v>12.0</v>
      </c>
      <c r="C25" s="213">
        <f>B25/B26</f>
        <v>0.1558441558</v>
      </c>
      <c r="D25" s="212">
        <v>798.9</v>
      </c>
      <c r="E25" s="213">
        <f>D25/D26</f>
        <v>0.1166813936</v>
      </c>
      <c r="F25" s="212">
        <v>9.0</v>
      </c>
      <c r="G25" s="214">
        <v>0.1836734693877551</v>
      </c>
      <c r="H25" s="197"/>
      <c r="I25" s="198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>
      <c r="A26" s="222" t="s">
        <v>490</v>
      </c>
      <c r="B26" s="223">
        <v>77.0</v>
      </c>
      <c r="C26" s="223"/>
      <c r="D26" s="223">
        <v>6846.85</v>
      </c>
      <c r="E26" s="223"/>
      <c r="F26" s="223">
        <v>49.0</v>
      </c>
      <c r="G26" s="224"/>
      <c r="H26" s="197"/>
      <c r="I26" s="198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>
      <c r="A27" s="225">
        <v>45460.0</v>
      </c>
      <c r="B27" s="207"/>
      <c r="C27" s="207"/>
      <c r="D27" s="207"/>
      <c r="E27" s="207"/>
      <c r="F27" s="207"/>
      <c r="G27" s="226"/>
      <c r="H27" s="204" t="s">
        <v>452</v>
      </c>
      <c r="I27" s="205" t="s">
        <v>491</v>
      </c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>
      <c r="A28" s="211" t="s">
        <v>453</v>
      </c>
      <c r="B28" s="212">
        <v>14.0</v>
      </c>
      <c r="C28" s="213">
        <f>B28/B29</f>
        <v>0.2333333333</v>
      </c>
      <c r="D28" s="212">
        <v>1501.0</v>
      </c>
      <c r="E28" s="213">
        <f>D28/D29</f>
        <v>0.2293266109</v>
      </c>
      <c r="F28" s="212">
        <v>10.0</v>
      </c>
      <c r="G28" s="214">
        <v>0.2702702702702703</v>
      </c>
      <c r="H28" s="197"/>
      <c r="I28" s="198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>
      <c r="A29" s="215" t="s">
        <v>490</v>
      </c>
      <c r="B29" s="216">
        <v>60.0</v>
      </c>
      <c r="C29" s="216"/>
      <c r="D29" s="216">
        <v>6545.25</v>
      </c>
      <c r="E29" s="216"/>
      <c r="F29" s="216">
        <v>37.0</v>
      </c>
      <c r="G29" s="217"/>
      <c r="H29" s="197"/>
      <c r="I29" s="198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>
      <c r="A30" s="218">
        <v>45461.0</v>
      </c>
      <c r="B30" s="219"/>
      <c r="C30" s="219"/>
      <c r="D30" s="219"/>
      <c r="E30" s="219"/>
      <c r="F30" s="219"/>
      <c r="G30" s="220"/>
      <c r="H30" s="204" t="s">
        <v>455</v>
      </c>
      <c r="I30" s="205" t="s">
        <v>495</v>
      </c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>
      <c r="A31" s="211" t="s">
        <v>453</v>
      </c>
      <c r="B31" s="212">
        <v>6.0</v>
      </c>
      <c r="C31" s="213">
        <f>B31/B32</f>
        <v>0.08219178082</v>
      </c>
      <c r="D31" s="212">
        <v>570.6</v>
      </c>
      <c r="E31" s="213">
        <f>D31/D32</f>
        <v>0.03745962554</v>
      </c>
      <c r="F31" s="212">
        <v>5.0</v>
      </c>
      <c r="G31" s="214">
        <v>0.11363636363636363</v>
      </c>
      <c r="H31" s="197"/>
      <c r="I31" s="198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>
      <c r="A32" s="222" t="s">
        <v>490</v>
      </c>
      <c r="B32" s="223">
        <v>73.0</v>
      </c>
      <c r="C32" s="223"/>
      <c r="D32" s="223">
        <v>15232.4</v>
      </c>
      <c r="E32" s="223"/>
      <c r="F32" s="223">
        <v>44.0</v>
      </c>
      <c r="G32" s="224"/>
      <c r="H32" s="197"/>
      <c r="I32" s="198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>
      <c r="A33" s="225">
        <v>45462.0</v>
      </c>
      <c r="B33" s="207"/>
      <c r="C33" s="207"/>
      <c r="D33" s="207"/>
      <c r="E33" s="207"/>
      <c r="F33" s="207"/>
      <c r="G33" s="226"/>
      <c r="H33" s="204" t="s">
        <v>457</v>
      </c>
      <c r="I33" s="221">
        <v>45513.0</v>
      </c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>
      <c r="A34" s="211" t="s">
        <v>453</v>
      </c>
      <c r="B34" s="212">
        <v>16.0</v>
      </c>
      <c r="C34" s="213">
        <f>B34/B35</f>
        <v>0.253968254</v>
      </c>
      <c r="D34" s="212">
        <v>918.05</v>
      </c>
      <c r="E34" s="213">
        <f>D34/D35</f>
        <v>0.1538248871</v>
      </c>
      <c r="F34" s="212">
        <v>11.0</v>
      </c>
      <c r="G34" s="214">
        <v>0.2619047619047619</v>
      </c>
      <c r="H34" s="197"/>
      <c r="I34" s="198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>
      <c r="A35" s="215" t="s">
        <v>490</v>
      </c>
      <c r="B35" s="216">
        <v>63.0</v>
      </c>
      <c r="C35" s="216"/>
      <c r="D35" s="216">
        <v>5968.15</v>
      </c>
      <c r="E35" s="216"/>
      <c r="F35" s="216">
        <v>42.0</v>
      </c>
      <c r="G35" s="217"/>
      <c r="H35" s="197"/>
      <c r="I35" s="198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>
      <c r="A36" s="218">
        <v>45463.0</v>
      </c>
      <c r="B36" s="219"/>
      <c r="C36" s="219"/>
      <c r="D36" s="219"/>
      <c r="E36" s="219"/>
      <c r="F36" s="219"/>
      <c r="G36" s="220"/>
      <c r="H36" s="204" t="s">
        <v>459</v>
      </c>
      <c r="I36" s="205" t="s">
        <v>489</v>
      </c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>
      <c r="A37" s="211" t="s">
        <v>453</v>
      </c>
      <c r="B37" s="212">
        <v>22.0</v>
      </c>
      <c r="C37" s="213">
        <f>B37/B38</f>
        <v>0.275</v>
      </c>
      <c r="D37" s="212">
        <v>1360.05</v>
      </c>
      <c r="E37" s="213">
        <f>D37/D38</f>
        <v>0.134840651</v>
      </c>
      <c r="F37" s="212">
        <v>11.0</v>
      </c>
      <c r="G37" s="214">
        <v>0.2619047619047619</v>
      </c>
      <c r="H37" s="197"/>
      <c r="I37" s="198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>
      <c r="A38" s="222" t="s">
        <v>490</v>
      </c>
      <c r="B38" s="223">
        <v>80.0</v>
      </c>
      <c r="C38" s="223"/>
      <c r="D38" s="223">
        <v>10086.35</v>
      </c>
      <c r="E38" s="223"/>
      <c r="F38" s="223">
        <v>42.0</v>
      </c>
      <c r="G38" s="224"/>
      <c r="H38" s="197"/>
      <c r="I38" s="198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>
      <c r="A39" s="225">
        <v>45467.0</v>
      </c>
      <c r="B39" s="207"/>
      <c r="C39" s="207"/>
      <c r="D39" s="207"/>
      <c r="E39" s="207"/>
      <c r="F39" s="207"/>
      <c r="G39" s="226"/>
      <c r="H39" s="204" t="s">
        <v>452</v>
      </c>
      <c r="I39" s="227">
        <v>45635.0</v>
      </c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>
      <c r="A40" s="211" t="s">
        <v>453</v>
      </c>
      <c r="B40" s="212">
        <v>15.0</v>
      </c>
      <c r="C40" s="213">
        <f>B40/B41</f>
        <v>0.2727272727</v>
      </c>
      <c r="D40" s="212">
        <v>1398.35</v>
      </c>
      <c r="E40" s="213">
        <f>D40/D41</f>
        <v>0.2530428111</v>
      </c>
      <c r="F40" s="212">
        <v>12.0</v>
      </c>
      <c r="G40" s="214">
        <v>0.27906976744186046</v>
      </c>
      <c r="H40" s="197"/>
      <c r="I40" s="198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>
      <c r="A41" s="215" t="s">
        <v>490</v>
      </c>
      <c r="B41" s="216">
        <v>55.0</v>
      </c>
      <c r="C41" s="216"/>
      <c r="D41" s="216">
        <v>5526.14</v>
      </c>
      <c r="E41" s="216"/>
      <c r="F41" s="216">
        <v>43.0</v>
      </c>
      <c r="G41" s="217"/>
      <c r="H41" s="197"/>
      <c r="I41" s="198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>
      <c r="A42" s="218">
        <v>45468.0</v>
      </c>
      <c r="B42" s="219"/>
      <c r="C42" s="219"/>
      <c r="D42" s="219"/>
      <c r="E42" s="219"/>
      <c r="F42" s="219"/>
      <c r="G42" s="220"/>
      <c r="H42" s="204" t="s">
        <v>455</v>
      </c>
      <c r="I42" s="205" t="s">
        <v>496</v>
      </c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>
      <c r="A43" s="211" t="s">
        <v>453</v>
      </c>
      <c r="B43" s="212">
        <v>13.0</v>
      </c>
      <c r="C43" s="213">
        <f>B43/B44</f>
        <v>0.3421052632</v>
      </c>
      <c r="D43" s="212">
        <v>907.6</v>
      </c>
      <c r="E43" s="213">
        <f>D43/D44</f>
        <v>0.197893727</v>
      </c>
      <c r="F43" s="212">
        <v>13.0</v>
      </c>
      <c r="G43" s="214">
        <v>0.34210526315789475</v>
      </c>
      <c r="H43" s="197"/>
      <c r="I43" s="198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>
      <c r="A44" s="222" t="s">
        <v>490</v>
      </c>
      <c r="B44" s="223">
        <v>38.0</v>
      </c>
      <c r="C44" s="223"/>
      <c r="D44" s="223">
        <v>4586.3</v>
      </c>
      <c r="E44" s="223"/>
      <c r="F44" s="223">
        <v>38.0</v>
      </c>
      <c r="G44" s="224"/>
      <c r="H44" s="197"/>
      <c r="I44" s="198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>
      <c r="A45" s="225">
        <v>45469.0</v>
      </c>
      <c r="B45" s="207"/>
      <c r="C45" s="207"/>
      <c r="D45" s="207"/>
      <c r="E45" s="207"/>
      <c r="F45" s="207"/>
      <c r="G45" s="226"/>
      <c r="H45" s="204" t="s">
        <v>457</v>
      </c>
      <c r="I45" s="205" t="s">
        <v>497</v>
      </c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>
      <c r="A46" s="211" t="s">
        <v>453</v>
      </c>
      <c r="B46" s="212">
        <v>24.0</v>
      </c>
      <c r="C46" s="213">
        <f>B46/B47</f>
        <v>0.275862069</v>
      </c>
      <c r="D46" s="212">
        <v>1459.4</v>
      </c>
      <c r="E46" s="213">
        <f>D46/D47</f>
        <v>0.1508065266</v>
      </c>
      <c r="F46" s="212">
        <v>18.0</v>
      </c>
      <c r="G46" s="214">
        <v>0.32142857142857145</v>
      </c>
      <c r="H46" s="197"/>
      <c r="I46" s="198"/>
      <c r="J46" s="209"/>
      <c r="K46" s="228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>
      <c r="A47" s="215" t="s">
        <v>490</v>
      </c>
      <c r="B47" s="216">
        <v>87.0</v>
      </c>
      <c r="C47" s="216"/>
      <c r="D47" s="216">
        <v>9677.3</v>
      </c>
      <c r="E47" s="216"/>
      <c r="F47" s="216">
        <v>56.0</v>
      </c>
      <c r="G47" s="217"/>
      <c r="H47" s="197"/>
      <c r="I47" s="198"/>
      <c r="J47" s="209"/>
      <c r="K47" s="229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>
      <c r="A48" s="218">
        <v>45470.0</v>
      </c>
      <c r="B48" s="219"/>
      <c r="C48" s="219"/>
      <c r="D48" s="219"/>
      <c r="E48" s="219"/>
      <c r="F48" s="219"/>
      <c r="G48" s="220"/>
      <c r="H48" s="204" t="s">
        <v>459</v>
      </c>
      <c r="I48" s="227">
        <v>45574.0</v>
      </c>
      <c r="J48" s="209"/>
      <c r="K48" s="230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>
      <c r="A49" s="211" t="s">
        <v>453</v>
      </c>
      <c r="B49" s="212">
        <v>14.0</v>
      </c>
      <c r="C49" s="213">
        <f>B49/B50</f>
        <v>0.152173913</v>
      </c>
      <c r="D49" s="212">
        <v>1295.05</v>
      </c>
      <c r="E49" s="213">
        <f>D49/D50</f>
        <v>0.132684791</v>
      </c>
      <c r="F49" s="212">
        <v>14.0</v>
      </c>
      <c r="G49" s="214">
        <v>0.19718309859154928</v>
      </c>
      <c r="H49" s="197"/>
      <c r="I49" s="198"/>
      <c r="J49" s="209"/>
      <c r="K49" s="229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>
      <c r="A50" s="222" t="s">
        <v>490</v>
      </c>
      <c r="B50" s="223">
        <v>92.0</v>
      </c>
      <c r="C50" s="223"/>
      <c r="D50" s="223">
        <v>9760.35</v>
      </c>
      <c r="E50" s="223"/>
      <c r="F50" s="223">
        <v>71.0</v>
      </c>
      <c r="G50" s="224"/>
      <c r="H50" s="197"/>
      <c r="I50" s="198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>
      <c r="A51" s="199"/>
      <c r="B51" s="200" t="s">
        <v>444</v>
      </c>
      <c r="C51" s="201" t="s">
        <v>485</v>
      </c>
      <c r="D51" s="200" t="s">
        <v>446</v>
      </c>
      <c r="E51" s="202" t="s">
        <v>486</v>
      </c>
      <c r="F51" s="202" t="s">
        <v>447</v>
      </c>
      <c r="G51" s="203" t="s">
        <v>487</v>
      </c>
      <c r="H51" s="197"/>
      <c r="I51" s="198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>
      <c r="A52" s="231" t="s">
        <v>498</v>
      </c>
      <c r="B52" s="232">
        <f t="shared" ref="B52:B53" si="1">B4+B7+B10+B13+B16+B19+B22+B25+B28+B31+B34+B37+B40+B43+B46+B49</f>
        <v>225</v>
      </c>
      <c r="C52" s="233">
        <f>B52/B53</f>
        <v>0.2028854824</v>
      </c>
      <c r="D52" s="234">
        <f t="shared" ref="D52:D53" si="2">D4+D7+D10+D13+D16+D19+D22+D25+D28+D31+D34+D37+D40+D43+D46+D49</f>
        <v>15643.32</v>
      </c>
      <c r="E52" s="233">
        <f>D52/D53</f>
        <v>0.1253668948</v>
      </c>
      <c r="F52" s="232">
        <f t="shared" ref="F52:F53" si="3">F4+F7+F10+F13+F16+F19+F22+F25+F28+F31+F34+F37+F40+F43+F46+F49</f>
        <v>168</v>
      </c>
      <c r="G52" s="235">
        <f>F52/F53</f>
        <v>0.234965035</v>
      </c>
      <c r="H52" s="197"/>
      <c r="I52" s="198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>
      <c r="A53" s="236" t="s">
        <v>499</v>
      </c>
      <c r="B53" s="237">
        <f t="shared" si="1"/>
        <v>1109</v>
      </c>
      <c r="C53" s="237"/>
      <c r="D53" s="237">
        <f t="shared" si="2"/>
        <v>124780.31</v>
      </c>
      <c r="E53" s="237"/>
      <c r="F53" s="237">
        <f t="shared" si="3"/>
        <v>715</v>
      </c>
      <c r="G53" s="238"/>
      <c r="H53" s="197"/>
      <c r="I53" s="198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>
      <c r="A54" s="239"/>
      <c r="B54" s="240"/>
      <c r="C54" s="240"/>
      <c r="D54" s="240"/>
      <c r="E54" s="240"/>
      <c r="F54" s="240"/>
      <c r="G54" s="240"/>
      <c r="H54" s="197"/>
      <c r="I54" s="198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>
      <c r="A55" s="239"/>
      <c r="B55" s="240"/>
      <c r="C55" s="240"/>
      <c r="D55" s="240"/>
      <c r="E55" s="240"/>
      <c r="F55" s="240"/>
      <c r="G55" s="240"/>
      <c r="H55" s="197"/>
      <c r="I55" s="198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>
      <c r="A56" s="239"/>
      <c r="B56" s="241"/>
      <c r="C56" s="242" t="s">
        <v>500</v>
      </c>
      <c r="D56" s="242" t="s">
        <v>501</v>
      </c>
      <c r="E56" s="240"/>
      <c r="F56" s="240"/>
      <c r="G56" s="240"/>
      <c r="H56" s="197"/>
      <c r="I56" s="198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>
      <c r="A57" s="239"/>
      <c r="B57" s="243" t="s">
        <v>502</v>
      </c>
      <c r="C57" s="244">
        <f>D52-D49-D46-D43-D40</f>
        <v>10582.92</v>
      </c>
      <c r="D57" s="245">
        <f>D52</f>
        <v>15643.32</v>
      </c>
      <c r="E57" s="240"/>
      <c r="F57" s="240"/>
      <c r="G57" s="240"/>
      <c r="H57" s="197"/>
      <c r="I57" s="198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>
      <c r="A58" s="239"/>
      <c r="B58" s="243" t="s">
        <v>503</v>
      </c>
      <c r="C58" s="246">
        <f t="shared" ref="C58:D58" si="4">C57*0.27</f>
        <v>2857.3884</v>
      </c>
      <c r="D58" s="247">
        <f t="shared" si="4"/>
        <v>4223.6964</v>
      </c>
      <c r="E58" s="240"/>
      <c r="F58" s="240"/>
      <c r="G58" s="240"/>
      <c r="H58" s="197"/>
      <c r="I58" s="198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>
      <c r="A59" s="239"/>
      <c r="B59" s="243" t="s">
        <v>504</v>
      </c>
      <c r="C59" s="246">
        <v>5730.45</v>
      </c>
      <c r="D59" s="247">
        <f>C59/12*16</f>
        <v>7640.6</v>
      </c>
      <c r="E59" s="248"/>
      <c r="F59" s="248"/>
      <c r="G59" s="240"/>
      <c r="H59" s="197"/>
      <c r="I59" s="198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>
      <c r="A60" s="239"/>
      <c r="B60" s="243" t="s">
        <v>505</v>
      </c>
      <c r="C60" s="246">
        <f>950</f>
        <v>950</v>
      </c>
      <c r="D60" s="249">
        <f>1267</f>
        <v>1267</v>
      </c>
      <c r="E60" s="250" t="s">
        <v>506</v>
      </c>
      <c r="F60" s="240"/>
      <c r="G60" s="240"/>
      <c r="H60" s="197"/>
      <c r="I60" s="198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>
      <c r="A61" s="239"/>
      <c r="B61" s="243" t="s">
        <v>27</v>
      </c>
      <c r="C61" s="246">
        <f t="shared" ref="C61:D61" si="5">C57*0.05</f>
        <v>529.146</v>
      </c>
      <c r="D61" s="246">
        <f t="shared" si="5"/>
        <v>782.166</v>
      </c>
      <c r="E61" s="240"/>
      <c r="F61" s="240"/>
      <c r="G61" s="240"/>
      <c r="H61" s="197"/>
      <c r="I61" s="198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>
      <c r="A62" s="239"/>
      <c r="B62" s="243" t="s">
        <v>507</v>
      </c>
      <c r="C62" s="246">
        <f>C57-C58-C59-C60</f>
        <v>1045.0816</v>
      </c>
      <c r="D62" s="247">
        <f>D57-D58-D59-D60-D61</f>
        <v>1729.8576</v>
      </c>
      <c r="E62" s="251">
        <f>D62/D57</f>
        <v>0.1105812321</v>
      </c>
      <c r="F62" s="240"/>
      <c r="G62" s="240"/>
      <c r="H62" s="197"/>
      <c r="I62" s="198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>
      <c r="A63" s="239"/>
      <c r="B63" s="252"/>
      <c r="C63" s="253"/>
      <c r="D63" s="240"/>
      <c r="E63" s="240"/>
      <c r="F63" s="240"/>
      <c r="G63" s="240"/>
      <c r="H63" s="197"/>
      <c r="I63" s="198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>
      <c r="A64" s="239"/>
      <c r="B64" s="254"/>
      <c r="C64" s="255"/>
      <c r="D64" s="240"/>
      <c r="E64" s="240"/>
      <c r="F64" s="240"/>
      <c r="G64" s="240"/>
      <c r="H64" s="197"/>
      <c r="I64" s="198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>
      <c r="A65" s="241"/>
      <c r="B65" s="242">
        <v>2.5</v>
      </c>
      <c r="C65" s="256"/>
      <c r="D65" s="256"/>
      <c r="E65" s="240"/>
      <c r="F65" s="240"/>
      <c r="G65" s="240"/>
      <c r="H65" s="197"/>
      <c r="I65" s="198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>
      <c r="A66" s="257" t="s">
        <v>508</v>
      </c>
      <c r="B66" s="242">
        <v>27.5</v>
      </c>
      <c r="C66" s="256">
        <f t="shared" ref="C66:C71" si="6">B66*2.5</f>
        <v>68.75</v>
      </c>
      <c r="D66" s="256"/>
      <c r="E66" s="240"/>
      <c r="F66" s="240"/>
      <c r="G66" s="240"/>
      <c r="H66" s="197"/>
      <c r="I66" s="198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>
      <c r="A67" s="257" t="s">
        <v>509</v>
      </c>
      <c r="B67" s="242">
        <v>28.2</v>
      </c>
      <c r="C67" s="256">
        <f t="shared" si="6"/>
        <v>70.5</v>
      </c>
      <c r="D67" s="256"/>
      <c r="E67" s="240"/>
      <c r="F67" s="240"/>
      <c r="G67" s="240"/>
      <c r="H67" s="197"/>
      <c r="I67" s="198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>
      <c r="A68" s="257" t="s">
        <v>510</v>
      </c>
      <c r="B68" s="242">
        <v>27.0</v>
      </c>
      <c r="C68" s="256">
        <f t="shared" si="6"/>
        <v>67.5</v>
      </c>
      <c r="D68" s="256"/>
      <c r="E68" s="240"/>
      <c r="F68" s="240"/>
      <c r="G68" s="240"/>
      <c r="H68" s="197"/>
      <c r="I68" s="198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>
      <c r="A69" s="257" t="s">
        <v>511</v>
      </c>
      <c r="B69" s="242">
        <v>29.2</v>
      </c>
      <c r="C69" s="256">
        <f t="shared" si="6"/>
        <v>73</v>
      </c>
      <c r="D69" s="256"/>
      <c r="E69" s="240"/>
      <c r="F69" s="240"/>
      <c r="G69" s="240"/>
      <c r="H69" s="197"/>
      <c r="I69" s="198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>
      <c r="A70" s="257" t="s">
        <v>512</v>
      </c>
      <c r="B70" s="242">
        <v>26.0</v>
      </c>
      <c r="C70" s="256">
        <f t="shared" si="6"/>
        <v>65</v>
      </c>
      <c r="D70" s="256"/>
      <c r="E70" s="240"/>
      <c r="F70" s="240"/>
      <c r="G70" s="240"/>
      <c r="H70" s="197"/>
      <c r="I70" s="198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>
      <c r="A71" s="257" t="s">
        <v>512</v>
      </c>
      <c r="B71" s="242">
        <v>26.0</v>
      </c>
      <c r="C71" s="256">
        <f t="shared" si="6"/>
        <v>65</v>
      </c>
      <c r="D71" s="256"/>
      <c r="E71" s="240"/>
      <c r="F71" s="240"/>
      <c r="G71" s="240"/>
      <c r="H71" s="197"/>
      <c r="I71" s="198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>
      <c r="A72" s="241"/>
      <c r="B72" s="256"/>
      <c r="C72" s="256">
        <f>C66+C67+C68+C69+C70+C71</f>
        <v>409.75</v>
      </c>
      <c r="D72" s="256">
        <f>C72*12</f>
        <v>4917</v>
      </c>
      <c r="E72" s="240"/>
      <c r="F72" s="240"/>
      <c r="G72" s="240"/>
      <c r="H72" s="197"/>
      <c r="I72" s="198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>
      <c r="A73" s="239"/>
      <c r="B73" s="240"/>
      <c r="C73" s="240"/>
      <c r="D73" s="240"/>
      <c r="E73" s="240"/>
      <c r="F73" s="240"/>
      <c r="G73" s="240"/>
      <c r="H73" s="197"/>
      <c r="I73" s="198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>
      <c r="A74" s="239"/>
      <c r="B74" s="240"/>
      <c r="C74" s="240"/>
      <c r="D74" s="240"/>
      <c r="E74" s="240"/>
      <c r="F74" s="240"/>
      <c r="G74" s="240"/>
      <c r="H74" s="197"/>
      <c r="I74" s="198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>
      <c r="A75" s="239"/>
      <c r="B75" s="240"/>
      <c r="C75" s="240"/>
      <c r="D75" s="240"/>
      <c r="E75" s="240"/>
      <c r="F75" s="240"/>
      <c r="G75" s="240"/>
      <c r="H75" s="197"/>
      <c r="I75" s="198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>
      <c r="A76" s="239"/>
      <c r="B76" s="240"/>
      <c r="C76" s="240"/>
      <c r="D76" s="240"/>
      <c r="E76" s="240"/>
      <c r="F76" s="240"/>
      <c r="G76" s="240"/>
      <c r="H76" s="197"/>
      <c r="I76" s="198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>
      <c r="A77" s="239"/>
      <c r="B77" s="240"/>
      <c r="C77" s="240"/>
      <c r="D77" s="240"/>
      <c r="E77" s="240"/>
      <c r="F77" s="240"/>
      <c r="G77" s="240"/>
      <c r="H77" s="197"/>
      <c r="I77" s="198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>
      <c r="A78" s="239"/>
      <c r="B78" s="240"/>
      <c r="C78" s="240"/>
      <c r="D78" s="240"/>
      <c r="E78" s="240"/>
      <c r="F78" s="240"/>
      <c r="G78" s="240"/>
      <c r="H78" s="197"/>
      <c r="I78" s="198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>
      <c r="A79" s="239"/>
      <c r="B79" s="240"/>
      <c r="C79" s="240"/>
      <c r="D79" s="240"/>
      <c r="E79" s="240"/>
      <c r="F79" s="240"/>
      <c r="G79" s="240"/>
      <c r="H79" s="197"/>
      <c r="I79" s="198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>
      <c r="A80" s="239"/>
      <c r="B80" s="240"/>
      <c r="C80" s="240"/>
      <c r="D80" s="240"/>
      <c r="E80" s="240"/>
      <c r="F80" s="240"/>
      <c r="G80" s="240"/>
      <c r="H80" s="197"/>
      <c r="I80" s="198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>
      <c r="A81" s="239"/>
      <c r="B81" s="240"/>
      <c r="C81" s="240"/>
      <c r="D81" s="240"/>
      <c r="E81" s="240"/>
      <c r="F81" s="240"/>
      <c r="G81" s="240"/>
      <c r="H81" s="197"/>
      <c r="I81" s="198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>
      <c r="A82" s="239"/>
      <c r="B82" s="240"/>
      <c r="C82" s="240"/>
      <c r="D82" s="240"/>
      <c r="E82" s="240"/>
      <c r="F82" s="240"/>
      <c r="G82" s="240"/>
      <c r="H82" s="197"/>
      <c r="I82" s="198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>
      <c r="A83" s="239"/>
      <c r="B83" s="240"/>
      <c r="C83" s="240"/>
      <c r="D83" s="240"/>
      <c r="E83" s="240"/>
      <c r="F83" s="240"/>
      <c r="G83" s="240"/>
      <c r="H83" s="197"/>
      <c r="I83" s="198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>
      <c r="A84" s="239"/>
      <c r="B84" s="240"/>
      <c r="C84" s="240"/>
      <c r="D84" s="240"/>
      <c r="E84" s="240"/>
      <c r="F84" s="240"/>
      <c r="G84" s="240"/>
      <c r="H84" s="197"/>
      <c r="I84" s="198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>
      <c r="A85" s="239"/>
      <c r="B85" s="240"/>
      <c r="C85" s="240"/>
      <c r="D85" s="240"/>
      <c r="E85" s="240"/>
      <c r="F85" s="240"/>
      <c r="G85" s="240"/>
      <c r="H85" s="197"/>
      <c r="I85" s="198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>
      <c r="A86" s="239"/>
      <c r="B86" s="240"/>
      <c r="C86" s="240"/>
      <c r="D86" s="240"/>
      <c r="E86" s="240"/>
      <c r="F86" s="240"/>
      <c r="G86" s="240"/>
      <c r="H86" s="197"/>
      <c r="I86" s="198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>
      <c r="A87" s="239"/>
      <c r="B87" s="240"/>
      <c r="C87" s="240"/>
      <c r="D87" s="240"/>
      <c r="E87" s="240"/>
      <c r="F87" s="240"/>
      <c r="G87" s="240"/>
      <c r="H87" s="197"/>
      <c r="I87" s="198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>
      <c r="A88" s="239"/>
      <c r="B88" s="240"/>
      <c r="C88" s="240"/>
      <c r="D88" s="240"/>
      <c r="E88" s="240"/>
      <c r="F88" s="240"/>
      <c r="G88" s="240"/>
      <c r="H88" s="197"/>
      <c r="I88" s="198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>
      <c r="A89" s="239"/>
      <c r="B89" s="240"/>
      <c r="C89" s="240"/>
      <c r="D89" s="240"/>
      <c r="E89" s="240"/>
      <c r="F89" s="240"/>
      <c r="G89" s="240"/>
      <c r="H89" s="197"/>
      <c r="I89" s="198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>
      <c r="A90" s="239"/>
      <c r="B90" s="240"/>
      <c r="C90" s="240"/>
      <c r="D90" s="240"/>
      <c r="E90" s="240"/>
      <c r="F90" s="240"/>
      <c r="G90" s="240"/>
      <c r="H90" s="197"/>
      <c r="I90" s="198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>
      <c r="A91" s="239"/>
      <c r="B91" s="240"/>
      <c r="C91" s="240"/>
      <c r="D91" s="240"/>
      <c r="E91" s="240"/>
      <c r="F91" s="240"/>
      <c r="G91" s="240"/>
      <c r="H91" s="197"/>
      <c r="I91" s="198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239"/>
      <c r="B92" s="240"/>
      <c r="C92" s="240"/>
      <c r="D92" s="240"/>
      <c r="E92" s="240"/>
      <c r="F92" s="240"/>
      <c r="G92" s="240"/>
      <c r="H92" s="197"/>
      <c r="I92" s="198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>
      <c r="A93" s="239"/>
      <c r="B93" s="240"/>
      <c r="C93" s="240"/>
      <c r="D93" s="240"/>
      <c r="E93" s="240"/>
      <c r="F93" s="240"/>
      <c r="G93" s="240"/>
      <c r="H93" s="197"/>
      <c r="I93" s="198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>
      <c r="A94" s="239"/>
      <c r="B94" s="240"/>
      <c r="C94" s="240"/>
      <c r="D94" s="240"/>
      <c r="E94" s="240"/>
      <c r="F94" s="240"/>
      <c r="G94" s="240"/>
      <c r="H94" s="197"/>
      <c r="I94" s="198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>
      <c r="A95" s="239"/>
      <c r="B95" s="240"/>
      <c r="C95" s="240"/>
      <c r="D95" s="240"/>
      <c r="E95" s="240"/>
      <c r="F95" s="240"/>
      <c r="G95" s="240"/>
      <c r="H95" s="197"/>
      <c r="I95" s="198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>
      <c r="A96" s="239"/>
      <c r="B96" s="240"/>
      <c r="C96" s="240"/>
      <c r="D96" s="240"/>
      <c r="E96" s="240"/>
      <c r="F96" s="240"/>
      <c r="G96" s="240"/>
      <c r="H96" s="197"/>
      <c r="I96" s="198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>
      <c r="A97" s="239"/>
      <c r="B97" s="240"/>
      <c r="C97" s="240"/>
      <c r="D97" s="240"/>
      <c r="E97" s="240"/>
      <c r="F97" s="240"/>
      <c r="G97" s="240"/>
      <c r="H97" s="197"/>
      <c r="I97" s="198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>
      <c r="A98" s="239"/>
      <c r="B98" s="240"/>
      <c r="C98" s="240"/>
      <c r="D98" s="240"/>
      <c r="E98" s="240"/>
      <c r="F98" s="240"/>
      <c r="G98" s="240"/>
      <c r="H98" s="197"/>
      <c r="I98" s="198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239"/>
      <c r="B99" s="240"/>
      <c r="C99" s="240"/>
      <c r="D99" s="240"/>
      <c r="E99" s="240"/>
      <c r="F99" s="240"/>
      <c r="G99" s="240"/>
      <c r="H99" s="197"/>
      <c r="I99" s="198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>
      <c r="A100" s="239"/>
      <c r="B100" s="240"/>
      <c r="C100" s="240"/>
      <c r="D100" s="240"/>
      <c r="E100" s="240"/>
      <c r="F100" s="240"/>
      <c r="G100" s="240"/>
      <c r="H100" s="197"/>
      <c r="I100" s="198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>
      <c r="A101" s="239"/>
      <c r="B101" s="240"/>
      <c r="C101" s="240"/>
      <c r="D101" s="240"/>
      <c r="E101" s="240"/>
      <c r="F101" s="240"/>
      <c r="G101" s="240"/>
      <c r="H101" s="197"/>
      <c r="I101" s="198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>
      <c r="A102" s="239"/>
      <c r="B102" s="240"/>
      <c r="C102" s="240"/>
      <c r="D102" s="240"/>
      <c r="E102" s="240"/>
      <c r="F102" s="240"/>
      <c r="G102" s="240"/>
      <c r="H102" s="197"/>
      <c r="I102" s="198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>
      <c r="A103" s="239"/>
      <c r="B103" s="240"/>
      <c r="C103" s="240"/>
      <c r="D103" s="240"/>
      <c r="E103" s="240"/>
      <c r="F103" s="240"/>
      <c r="G103" s="240"/>
      <c r="H103" s="197"/>
      <c r="I103" s="198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>
      <c r="A104" s="239"/>
      <c r="B104" s="240"/>
      <c r="C104" s="240"/>
      <c r="D104" s="240"/>
      <c r="E104" s="240"/>
      <c r="F104" s="240"/>
      <c r="G104" s="240"/>
      <c r="H104" s="197"/>
      <c r="I104" s="198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>
      <c r="A105" s="239"/>
      <c r="B105" s="240"/>
      <c r="C105" s="240"/>
      <c r="D105" s="240"/>
      <c r="E105" s="240"/>
      <c r="F105" s="240"/>
      <c r="G105" s="240"/>
      <c r="H105" s="197"/>
      <c r="I105" s="198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>
      <c r="A106" s="239"/>
      <c r="B106" s="240"/>
      <c r="C106" s="240"/>
      <c r="D106" s="240"/>
      <c r="E106" s="240"/>
      <c r="F106" s="240"/>
      <c r="G106" s="240"/>
      <c r="H106" s="197"/>
      <c r="I106" s="198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>
      <c r="A107" s="239"/>
      <c r="B107" s="240"/>
      <c r="C107" s="240"/>
      <c r="D107" s="240"/>
      <c r="E107" s="240"/>
      <c r="F107" s="240"/>
      <c r="G107" s="240"/>
      <c r="H107" s="197"/>
      <c r="I107" s="198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>
      <c r="A108" s="239"/>
      <c r="B108" s="240"/>
      <c r="C108" s="240"/>
      <c r="D108" s="240"/>
      <c r="E108" s="240"/>
      <c r="F108" s="240"/>
      <c r="G108" s="240"/>
      <c r="H108" s="197"/>
      <c r="I108" s="198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>
      <c r="A109" s="239"/>
      <c r="B109" s="240"/>
      <c r="C109" s="240"/>
      <c r="D109" s="240"/>
      <c r="E109" s="240"/>
      <c r="F109" s="240"/>
      <c r="G109" s="240"/>
      <c r="H109" s="197"/>
      <c r="I109" s="198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>
      <c r="A110" s="239"/>
      <c r="B110" s="240"/>
      <c r="C110" s="240"/>
      <c r="D110" s="240"/>
      <c r="E110" s="240"/>
      <c r="F110" s="240"/>
      <c r="G110" s="240"/>
      <c r="H110" s="197"/>
      <c r="I110" s="198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>
      <c r="A111" s="239"/>
      <c r="B111" s="240"/>
      <c r="C111" s="240"/>
      <c r="D111" s="240"/>
      <c r="E111" s="240"/>
      <c r="F111" s="240"/>
      <c r="G111" s="240"/>
      <c r="H111" s="197"/>
      <c r="I111" s="198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>
      <c r="A112" s="239"/>
      <c r="B112" s="240"/>
      <c r="C112" s="240"/>
      <c r="D112" s="240"/>
      <c r="E112" s="240"/>
      <c r="F112" s="240"/>
      <c r="G112" s="240"/>
      <c r="H112" s="197"/>
      <c r="I112" s="198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>
      <c r="A113" s="239"/>
      <c r="B113" s="240"/>
      <c r="C113" s="240"/>
      <c r="D113" s="240"/>
      <c r="E113" s="240"/>
      <c r="F113" s="240"/>
      <c r="G113" s="240"/>
      <c r="H113" s="197"/>
      <c r="I113" s="198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>
      <c r="A114" s="239"/>
      <c r="B114" s="240"/>
      <c r="C114" s="240"/>
      <c r="D114" s="240"/>
      <c r="E114" s="240"/>
      <c r="F114" s="240"/>
      <c r="G114" s="240"/>
      <c r="H114" s="197"/>
      <c r="I114" s="198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>
      <c r="A115" s="239"/>
      <c r="B115" s="240"/>
      <c r="C115" s="240"/>
      <c r="D115" s="240"/>
      <c r="E115" s="240"/>
      <c r="F115" s="240"/>
      <c r="G115" s="240"/>
      <c r="H115" s="197"/>
      <c r="I115" s="198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>
      <c r="A116" s="239"/>
      <c r="B116" s="240"/>
      <c r="C116" s="240"/>
      <c r="D116" s="240"/>
      <c r="E116" s="240"/>
      <c r="F116" s="240"/>
      <c r="G116" s="240"/>
      <c r="H116" s="197"/>
      <c r="I116" s="198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>
      <c r="A117" s="239"/>
      <c r="B117" s="240"/>
      <c r="C117" s="240"/>
      <c r="D117" s="240"/>
      <c r="E117" s="240"/>
      <c r="F117" s="240"/>
      <c r="G117" s="240"/>
      <c r="H117" s="197"/>
      <c r="I117" s="198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>
      <c r="A118" s="239"/>
      <c r="B118" s="240"/>
      <c r="C118" s="240"/>
      <c r="D118" s="240"/>
      <c r="E118" s="240"/>
      <c r="F118" s="240"/>
      <c r="G118" s="240"/>
      <c r="H118" s="197"/>
      <c r="I118" s="198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>
      <c r="A119" s="239"/>
      <c r="B119" s="240"/>
      <c r="C119" s="240"/>
      <c r="D119" s="240"/>
      <c r="E119" s="240"/>
      <c r="F119" s="240"/>
      <c r="G119" s="240"/>
      <c r="H119" s="197"/>
      <c r="I119" s="198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>
      <c r="A120" s="239"/>
      <c r="B120" s="240"/>
      <c r="C120" s="240"/>
      <c r="D120" s="240"/>
      <c r="E120" s="240"/>
      <c r="F120" s="240"/>
      <c r="G120" s="240"/>
      <c r="H120" s="197"/>
      <c r="I120" s="198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>
      <c r="A121" s="239"/>
      <c r="B121" s="240"/>
      <c r="C121" s="240"/>
      <c r="D121" s="240"/>
      <c r="E121" s="240"/>
      <c r="F121" s="240"/>
      <c r="G121" s="240"/>
      <c r="H121" s="197"/>
      <c r="I121" s="198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>
      <c r="A122" s="239"/>
      <c r="B122" s="240"/>
      <c r="C122" s="240"/>
      <c r="D122" s="240"/>
      <c r="E122" s="240"/>
      <c r="F122" s="240"/>
      <c r="G122" s="240"/>
      <c r="H122" s="197"/>
      <c r="I122" s="198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>
      <c r="A123" s="239"/>
      <c r="B123" s="240"/>
      <c r="C123" s="240"/>
      <c r="D123" s="240"/>
      <c r="E123" s="240"/>
      <c r="F123" s="240"/>
      <c r="G123" s="240"/>
      <c r="H123" s="197"/>
      <c r="I123" s="198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>
      <c r="A124" s="239"/>
      <c r="B124" s="240"/>
      <c r="C124" s="240"/>
      <c r="D124" s="240"/>
      <c r="E124" s="240"/>
      <c r="F124" s="240"/>
      <c r="G124" s="240"/>
      <c r="H124" s="197"/>
      <c r="I124" s="198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>
      <c r="A125" s="239"/>
      <c r="B125" s="240"/>
      <c r="C125" s="240"/>
      <c r="D125" s="240"/>
      <c r="E125" s="240"/>
      <c r="F125" s="240"/>
      <c r="G125" s="240"/>
      <c r="H125" s="197"/>
      <c r="I125" s="198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>
      <c r="A126" s="239"/>
      <c r="B126" s="240"/>
      <c r="C126" s="240"/>
      <c r="D126" s="240"/>
      <c r="E126" s="240"/>
      <c r="F126" s="240"/>
      <c r="G126" s="240"/>
      <c r="H126" s="197"/>
      <c r="I126" s="198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>
      <c r="A127" s="239"/>
      <c r="B127" s="240"/>
      <c r="C127" s="240"/>
      <c r="D127" s="240"/>
      <c r="E127" s="240"/>
      <c r="F127" s="240"/>
      <c r="G127" s="240"/>
      <c r="H127" s="197"/>
      <c r="I127" s="198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>
      <c r="A128" s="239"/>
      <c r="B128" s="240"/>
      <c r="C128" s="240"/>
      <c r="D128" s="240"/>
      <c r="E128" s="240"/>
      <c r="F128" s="240"/>
      <c r="G128" s="240"/>
      <c r="H128" s="197"/>
      <c r="I128" s="198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>
      <c r="A129" s="239"/>
      <c r="B129" s="240"/>
      <c r="C129" s="240"/>
      <c r="D129" s="240"/>
      <c r="E129" s="240"/>
      <c r="F129" s="240"/>
      <c r="G129" s="240"/>
      <c r="H129" s="197"/>
      <c r="I129" s="198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>
      <c r="A130" s="239"/>
      <c r="B130" s="240"/>
      <c r="C130" s="240"/>
      <c r="D130" s="240"/>
      <c r="E130" s="240"/>
      <c r="F130" s="240"/>
      <c r="G130" s="240"/>
      <c r="H130" s="197"/>
      <c r="I130" s="198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>
      <c r="A131" s="239"/>
      <c r="B131" s="240"/>
      <c r="C131" s="240"/>
      <c r="D131" s="240"/>
      <c r="E131" s="240"/>
      <c r="F131" s="240"/>
      <c r="G131" s="240"/>
      <c r="H131" s="197"/>
      <c r="I131" s="198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>
      <c r="A132" s="239"/>
      <c r="B132" s="240"/>
      <c r="C132" s="240"/>
      <c r="D132" s="240"/>
      <c r="E132" s="240"/>
      <c r="F132" s="240"/>
      <c r="G132" s="240"/>
      <c r="H132" s="197"/>
      <c r="I132" s="198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>
      <c r="A133" s="239"/>
      <c r="B133" s="240"/>
      <c r="C133" s="240"/>
      <c r="D133" s="240"/>
      <c r="E133" s="240"/>
      <c r="F133" s="240"/>
      <c r="G133" s="240"/>
      <c r="H133" s="197"/>
      <c r="I133" s="198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>
      <c r="A134" s="239"/>
      <c r="B134" s="240"/>
      <c r="C134" s="240"/>
      <c r="D134" s="240"/>
      <c r="E134" s="240"/>
      <c r="F134" s="240"/>
      <c r="G134" s="240"/>
      <c r="H134" s="197"/>
      <c r="I134" s="198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>
      <c r="A135" s="239"/>
      <c r="B135" s="240"/>
      <c r="C135" s="240"/>
      <c r="D135" s="240"/>
      <c r="E135" s="240"/>
      <c r="F135" s="240"/>
      <c r="G135" s="240"/>
      <c r="H135" s="197"/>
      <c r="I135" s="198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>
      <c r="A136" s="239"/>
      <c r="B136" s="240"/>
      <c r="C136" s="240"/>
      <c r="D136" s="240"/>
      <c r="E136" s="240"/>
      <c r="F136" s="240"/>
      <c r="G136" s="240"/>
      <c r="H136" s="197"/>
      <c r="I136" s="198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>
      <c r="A137" s="239"/>
      <c r="B137" s="240"/>
      <c r="C137" s="240"/>
      <c r="D137" s="240"/>
      <c r="E137" s="240"/>
      <c r="F137" s="240"/>
      <c r="G137" s="240"/>
      <c r="H137" s="197"/>
      <c r="I137" s="198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>
      <c r="A138" s="239"/>
      <c r="B138" s="240"/>
      <c r="C138" s="240"/>
      <c r="D138" s="240"/>
      <c r="E138" s="240"/>
      <c r="F138" s="240"/>
      <c r="G138" s="240"/>
      <c r="H138" s="197"/>
      <c r="I138" s="198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>
      <c r="A139" s="239"/>
      <c r="B139" s="240"/>
      <c r="C139" s="240"/>
      <c r="D139" s="240"/>
      <c r="E139" s="240"/>
      <c r="F139" s="240"/>
      <c r="G139" s="240"/>
      <c r="H139" s="197"/>
      <c r="I139" s="198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>
      <c r="A140" s="239"/>
      <c r="B140" s="240"/>
      <c r="C140" s="240"/>
      <c r="D140" s="240"/>
      <c r="E140" s="240"/>
      <c r="F140" s="240"/>
      <c r="G140" s="240"/>
      <c r="H140" s="197"/>
      <c r="I140" s="198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>
      <c r="A141" s="239"/>
      <c r="B141" s="240"/>
      <c r="C141" s="240"/>
      <c r="D141" s="240"/>
      <c r="E141" s="240"/>
      <c r="F141" s="240"/>
      <c r="G141" s="240"/>
      <c r="H141" s="197"/>
      <c r="I141" s="198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>
      <c r="A142" s="239"/>
      <c r="B142" s="240"/>
      <c r="C142" s="240"/>
      <c r="D142" s="240"/>
      <c r="E142" s="240"/>
      <c r="F142" s="240"/>
      <c r="G142" s="240"/>
      <c r="H142" s="197"/>
      <c r="I142" s="198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>
      <c r="A143" s="239"/>
      <c r="B143" s="240"/>
      <c r="C143" s="240"/>
      <c r="D143" s="240"/>
      <c r="E143" s="240"/>
      <c r="F143" s="240"/>
      <c r="G143" s="240"/>
      <c r="H143" s="197"/>
      <c r="I143" s="198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>
      <c r="A144" s="239"/>
      <c r="B144" s="240"/>
      <c r="C144" s="240"/>
      <c r="D144" s="240"/>
      <c r="E144" s="240"/>
      <c r="F144" s="240"/>
      <c r="G144" s="240"/>
      <c r="H144" s="197"/>
      <c r="I144" s="198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>
      <c r="A145" s="239"/>
      <c r="B145" s="240"/>
      <c r="C145" s="240"/>
      <c r="D145" s="240"/>
      <c r="E145" s="240"/>
      <c r="F145" s="240"/>
      <c r="G145" s="240"/>
      <c r="H145" s="197"/>
      <c r="I145" s="198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>
      <c r="A146" s="239"/>
      <c r="B146" s="240"/>
      <c r="C146" s="240"/>
      <c r="D146" s="240"/>
      <c r="E146" s="240"/>
      <c r="F146" s="240"/>
      <c r="G146" s="240"/>
      <c r="H146" s="197"/>
      <c r="I146" s="198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>
      <c r="A147" s="239"/>
      <c r="B147" s="240"/>
      <c r="C147" s="240"/>
      <c r="D147" s="240"/>
      <c r="E147" s="240"/>
      <c r="F147" s="240"/>
      <c r="G147" s="240"/>
      <c r="H147" s="197"/>
      <c r="I147" s="198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>
      <c r="A148" s="239"/>
      <c r="B148" s="240"/>
      <c r="C148" s="240"/>
      <c r="D148" s="240"/>
      <c r="E148" s="240"/>
      <c r="F148" s="240"/>
      <c r="G148" s="240"/>
      <c r="H148" s="197"/>
      <c r="I148" s="198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>
      <c r="A149" s="239"/>
      <c r="B149" s="240"/>
      <c r="C149" s="240"/>
      <c r="D149" s="240"/>
      <c r="E149" s="240"/>
      <c r="F149" s="240"/>
      <c r="G149" s="240"/>
      <c r="H149" s="197"/>
      <c r="I149" s="198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>
      <c r="A150" s="239"/>
      <c r="B150" s="240"/>
      <c r="C150" s="240"/>
      <c r="D150" s="240"/>
      <c r="E150" s="240"/>
      <c r="F150" s="240"/>
      <c r="G150" s="240"/>
      <c r="H150" s="197"/>
      <c r="I150" s="198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>
      <c r="A151" s="239"/>
      <c r="B151" s="240"/>
      <c r="C151" s="240"/>
      <c r="D151" s="240"/>
      <c r="E151" s="240"/>
      <c r="F151" s="240"/>
      <c r="G151" s="240"/>
      <c r="H151" s="197"/>
      <c r="I151" s="198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>
      <c r="A152" s="239"/>
      <c r="B152" s="240"/>
      <c r="C152" s="240"/>
      <c r="D152" s="240"/>
      <c r="E152" s="240"/>
      <c r="F152" s="240"/>
      <c r="G152" s="240"/>
      <c r="H152" s="197"/>
      <c r="I152" s="198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>
      <c r="A153" s="239"/>
      <c r="B153" s="240"/>
      <c r="C153" s="240"/>
      <c r="D153" s="240"/>
      <c r="E153" s="240"/>
      <c r="F153" s="240"/>
      <c r="G153" s="240"/>
      <c r="H153" s="197"/>
      <c r="I153" s="198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>
      <c r="A154" s="239"/>
      <c r="B154" s="240"/>
      <c r="C154" s="240"/>
      <c r="D154" s="240"/>
      <c r="E154" s="240"/>
      <c r="F154" s="240"/>
      <c r="G154" s="240"/>
      <c r="H154" s="197"/>
      <c r="I154" s="198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>
      <c r="A155" s="239"/>
      <c r="B155" s="240"/>
      <c r="C155" s="240"/>
      <c r="D155" s="240"/>
      <c r="E155" s="240"/>
      <c r="F155" s="240"/>
      <c r="G155" s="240"/>
      <c r="H155" s="197"/>
      <c r="I155" s="198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>
      <c r="A156" s="239"/>
      <c r="B156" s="240"/>
      <c r="C156" s="240"/>
      <c r="D156" s="240"/>
      <c r="E156" s="240"/>
      <c r="F156" s="240"/>
      <c r="G156" s="240"/>
      <c r="H156" s="197"/>
      <c r="I156" s="198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>
      <c r="A157" s="239"/>
      <c r="B157" s="240"/>
      <c r="C157" s="240"/>
      <c r="D157" s="240"/>
      <c r="E157" s="240"/>
      <c r="F157" s="240"/>
      <c r="G157" s="240"/>
      <c r="H157" s="197"/>
      <c r="I157" s="198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>
      <c r="A158" s="239"/>
      <c r="B158" s="240"/>
      <c r="C158" s="240"/>
      <c r="D158" s="240"/>
      <c r="E158" s="240"/>
      <c r="F158" s="240"/>
      <c r="G158" s="240"/>
      <c r="H158" s="197"/>
      <c r="I158" s="198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>
      <c r="A159" s="239"/>
      <c r="B159" s="240"/>
      <c r="C159" s="240"/>
      <c r="D159" s="240"/>
      <c r="E159" s="240"/>
      <c r="F159" s="240"/>
      <c r="G159" s="240"/>
      <c r="H159" s="197"/>
      <c r="I159" s="198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>
      <c r="A160" s="239"/>
      <c r="B160" s="240"/>
      <c r="C160" s="240"/>
      <c r="D160" s="240"/>
      <c r="E160" s="240"/>
      <c r="F160" s="240"/>
      <c r="G160" s="240"/>
      <c r="H160" s="197"/>
      <c r="I160" s="198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>
      <c r="A161" s="239"/>
      <c r="B161" s="240"/>
      <c r="C161" s="240"/>
      <c r="D161" s="240"/>
      <c r="E161" s="240"/>
      <c r="F161" s="240"/>
      <c r="G161" s="240"/>
      <c r="H161" s="197"/>
      <c r="I161" s="198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>
      <c r="A162" s="239"/>
      <c r="B162" s="240"/>
      <c r="C162" s="240"/>
      <c r="D162" s="240"/>
      <c r="E162" s="240"/>
      <c r="F162" s="240"/>
      <c r="G162" s="240"/>
      <c r="H162" s="197"/>
      <c r="I162" s="198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>
      <c r="A163" s="239"/>
      <c r="B163" s="240"/>
      <c r="C163" s="240"/>
      <c r="D163" s="240"/>
      <c r="E163" s="240"/>
      <c r="F163" s="240"/>
      <c r="G163" s="240"/>
      <c r="H163" s="197"/>
      <c r="I163" s="198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>
      <c r="A164" s="239"/>
      <c r="B164" s="240"/>
      <c r="C164" s="240"/>
      <c r="D164" s="240"/>
      <c r="E164" s="240"/>
      <c r="F164" s="240"/>
      <c r="G164" s="240"/>
      <c r="H164" s="197"/>
      <c r="I164" s="198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>
      <c r="A165" s="239"/>
      <c r="B165" s="240"/>
      <c r="C165" s="240"/>
      <c r="D165" s="240"/>
      <c r="E165" s="240"/>
      <c r="F165" s="240"/>
      <c r="G165" s="240"/>
      <c r="H165" s="197"/>
      <c r="I165" s="198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>
      <c r="A166" s="239"/>
      <c r="B166" s="240"/>
      <c r="C166" s="240"/>
      <c r="D166" s="240"/>
      <c r="E166" s="240"/>
      <c r="F166" s="240"/>
      <c r="G166" s="240"/>
      <c r="H166" s="197"/>
      <c r="I166" s="198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>
      <c r="A167" s="239"/>
      <c r="B167" s="240"/>
      <c r="C167" s="240"/>
      <c r="D167" s="240"/>
      <c r="E167" s="240"/>
      <c r="F167" s="240"/>
      <c r="G167" s="240"/>
      <c r="H167" s="197"/>
      <c r="I167" s="198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>
      <c r="A168" s="239"/>
      <c r="B168" s="240"/>
      <c r="C168" s="240"/>
      <c r="D168" s="240"/>
      <c r="E168" s="240"/>
      <c r="F168" s="240"/>
      <c r="G168" s="240"/>
      <c r="H168" s="197"/>
      <c r="I168" s="198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>
      <c r="A169" s="239"/>
      <c r="B169" s="240"/>
      <c r="C169" s="240"/>
      <c r="D169" s="240"/>
      <c r="E169" s="240"/>
      <c r="F169" s="240"/>
      <c r="G169" s="240"/>
      <c r="H169" s="197"/>
      <c r="I169" s="198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>
      <c r="A170" s="239"/>
      <c r="B170" s="240"/>
      <c r="C170" s="240"/>
      <c r="D170" s="240"/>
      <c r="E170" s="240"/>
      <c r="F170" s="240"/>
      <c r="G170" s="240"/>
      <c r="H170" s="197"/>
      <c r="I170" s="198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>
      <c r="A171" s="239"/>
      <c r="B171" s="240"/>
      <c r="C171" s="240"/>
      <c r="D171" s="240"/>
      <c r="E171" s="240"/>
      <c r="F171" s="240"/>
      <c r="G171" s="240"/>
      <c r="H171" s="197"/>
      <c r="I171" s="198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>
      <c r="A172" s="239"/>
      <c r="B172" s="240"/>
      <c r="C172" s="240"/>
      <c r="D172" s="240"/>
      <c r="E172" s="240"/>
      <c r="F172" s="240"/>
      <c r="G172" s="240"/>
      <c r="H172" s="197"/>
      <c r="I172" s="198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>
      <c r="A173" s="239"/>
      <c r="B173" s="240"/>
      <c r="C173" s="240"/>
      <c r="D173" s="240"/>
      <c r="E173" s="240"/>
      <c r="F173" s="240"/>
      <c r="G173" s="240"/>
      <c r="H173" s="197"/>
      <c r="I173" s="198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>
      <c r="A174" s="239"/>
      <c r="B174" s="240"/>
      <c r="C174" s="240"/>
      <c r="D174" s="240"/>
      <c r="E174" s="240"/>
      <c r="F174" s="240"/>
      <c r="G174" s="240"/>
      <c r="H174" s="197"/>
      <c r="I174" s="198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>
      <c r="A175" s="239"/>
      <c r="B175" s="240"/>
      <c r="C175" s="240"/>
      <c r="D175" s="240"/>
      <c r="E175" s="240"/>
      <c r="F175" s="240"/>
      <c r="G175" s="240"/>
      <c r="H175" s="197"/>
      <c r="I175" s="198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>
      <c r="A176" s="239"/>
      <c r="B176" s="240"/>
      <c r="C176" s="240"/>
      <c r="D176" s="240"/>
      <c r="E176" s="240"/>
      <c r="F176" s="240"/>
      <c r="G176" s="240"/>
      <c r="H176" s="197"/>
      <c r="I176" s="198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>
      <c r="A177" s="239"/>
      <c r="B177" s="240"/>
      <c r="C177" s="240"/>
      <c r="D177" s="240"/>
      <c r="E177" s="240"/>
      <c r="F177" s="240"/>
      <c r="G177" s="240"/>
      <c r="H177" s="197"/>
      <c r="I177" s="198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>
      <c r="A178" s="239"/>
      <c r="B178" s="240"/>
      <c r="C178" s="240"/>
      <c r="D178" s="240"/>
      <c r="E178" s="240"/>
      <c r="F178" s="240"/>
      <c r="G178" s="240"/>
      <c r="H178" s="197"/>
      <c r="I178" s="198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>
      <c r="A179" s="239"/>
      <c r="B179" s="240"/>
      <c r="C179" s="240"/>
      <c r="D179" s="240"/>
      <c r="E179" s="240"/>
      <c r="F179" s="240"/>
      <c r="G179" s="240"/>
      <c r="H179" s="197"/>
      <c r="I179" s="198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>
      <c r="A180" s="239"/>
      <c r="B180" s="240"/>
      <c r="C180" s="240"/>
      <c r="D180" s="240"/>
      <c r="E180" s="240"/>
      <c r="F180" s="240"/>
      <c r="G180" s="240"/>
      <c r="H180" s="197"/>
      <c r="I180" s="198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>
      <c r="A181" s="239"/>
      <c r="B181" s="240"/>
      <c r="C181" s="240"/>
      <c r="D181" s="240"/>
      <c r="E181" s="240"/>
      <c r="F181" s="240"/>
      <c r="G181" s="240"/>
      <c r="H181" s="197"/>
      <c r="I181" s="198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>
      <c r="A182" s="239"/>
      <c r="B182" s="240"/>
      <c r="C182" s="240"/>
      <c r="D182" s="240"/>
      <c r="E182" s="240"/>
      <c r="F182" s="240"/>
      <c r="G182" s="240"/>
      <c r="H182" s="197"/>
      <c r="I182" s="198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>
      <c r="A183" s="239"/>
      <c r="B183" s="240"/>
      <c r="C183" s="240"/>
      <c r="D183" s="240"/>
      <c r="E183" s="240"/>
      <c r="F183" s="240"/>
      <c r="G183" s="240"/>
      <c r="H183" s="197"/>
      <c r="I183" s="198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>
      <c r="A184" s="239"/>
      <c r="B184" s="240"/>
      <c r="C184" s="240"/>
      <c r="D184" s="240"/>
      <c r="E184" s="240"/>
      <c r="F184" s="240"/>
      <c r="G184" s="240"/>
      <c r="H184" s="197"/>
      <c r="I184" s="198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>
      <c r="A185" s="239"/>
      <c r="B185" s="240"/>
      <c r="C185" s="240"/>
      <c r="D185" s="240"/>
      <c r="E185" s="240"/>
      <c r="F185" s="240"/>
      <c r="G185" s="240"/>
      <c r="H185" s="197"/>
      <c r="I185" s="198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>
      <c r="A186" s="239"/>
      <c r="B186" s="240"/>
      <c r="C186" s="240"/>
      <c r="D186" s="240"/>
      <c r="E186" s="240"/>
      <c r="F186" s="240"/>
      <c r="G186" s="240"/>
      <c r="H186" s="197"/>
      <c r="I186" s="198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>
      <c r="A187" s="239"/>
      <c r="B187" s="240"/>
      <c r="C187" s="240"/>
      <c r="D187" s="240"/>
      <c r="E187" s="240"/>
      <c r="F187" s="240"/>
      <c r="G187" s="240"/>
      <c r="H187" s="197"/>
      <c r="I187" s="198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>
      <c r="A188" s="239"/>
      <c r="B188" s="240"/>
      <c r="C188" s="240"/>
      <c r="D188" s="240"/>
      <c r="E188" s="240"/>
      <c r="F188" s="240"/>
      <c r="G188" s="240"/>
      <c r="H188" s="197"/>
      <c r="I188" s="198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>
      <c r="A189" s="239"/>
      <c r="B189" s="240"/>
      <c r="C189" s="240"/>
      <c r="D189" s="240"/>
      <c r="E189" s="240"/>
      <c r="F189" s="240"/>
      <c r="G189" s="240"/>
      <c r="H189" s="197"/>
      <c r="I189" s="198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>
      <c r="A190" s="239"/>
      <c r="B190" s="240"/>
      <c r="C190" s="240"/>
      <c r="D190" s="240"/>
      <c r="E190" s="240"/>
      <c r="F190" s="240"/>
      <c r="G190" s="240"/>
      <c r="H190" s="197"/>
      <c r="I190" s="198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>
      <c r="A191" s="239"/>
      <c r="B191" s="240"/>
      <c r="C191" s="240"/>
      <c r="D191" s="240"/>
      <c r="E191" s="240"/>
      <c r="F191" s="240"/>
      <c r="G191" s="240"/>
      <c r="H191" s="197"/>
      <c r="I191" s="198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>
      <c r="A192" s="239"/>
      <c r="B192" s="240"/>
      <c r="C192" s="240"/>
      <c r="D192" s="240"/>
      <c r="E192" s="240"/>
      <c r="F192" s="240"/>
      <c r="G192" s="240"/>
      <c r="H192" s="197"/>
      <c r="I192" s="198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>
      <c r="A193" s="239"/>
      <c r="B193" s="240"/>
      <c r="C193" s="240"/>
      <c r="D193" s="240"/>
      <c r="E193" s="240"/>
      <c r="F193" s="240"/>
      <c r="G193" s="240"/>
      <c r="H193" s="197"/>
      <c r="I193" s="198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>
      <c r="A194" s="239"/>
      <c r="B194" s="240"/>
      <c r="C194" s="240"/>
      <c r="D194" s="240"/>
      <c r="E194" s="240"/>
      <c r="F194" s="240"/>
      <c r="G194" s="240"/>
      <c r="H194" s="197"/>
      <c r="I194" s="198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>
      <c r="A195" s="239"/>
      <c r="B195" s="240"/>
      <c r="C195" s="240"/>
      <c r="D195" s="240"/>
      <c r="E195" s="240"/>
      <c r="F195" s="240"/>
      <c r="G195" s="240"/>
      <c r="H195" s="197"/>
      <c r="I195" s="198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>
      <c r="A196" s="239"/>
      <c r="B196" s="240"/>
      <c r="C196" s="240"/>
      <c r="D196" s="240"/>
      <c r="E196" s="240"/>
      <c r="F196" s="240"/>
      <c r="G196" s="240"/>
      <c r="H196" s="197"/>
      <c r="I196" s="198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>
      <c r="A197" s="239"/>
      <c r="B197" s="240"/>
      <c r="C197" s="240"/>
      <c r="D197" s="240"/>
      <c r="E197" s="240"/>
      <c r="F197" s="240"/>
      <c r="G197" s="240"/>
      <c r="H197" s="197"/>
      <c r="I197" s="198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>
      <c r="A198" s="239"/>
      <c r="B198" s="240"/>
      <c r="C198" s="240"/>
      <c r="D198" s="240"/>
      <c r="E198" s="240"/>
      <c r="F198" s="240"/>
      <c r="G198" s="240"/>
      <c r="H198" s="197"/>
      <c r="I198" s="198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>
      <c r="A199" s="239"/>
      <c r="B199" s="240"/>
      <c r="C199" s="240"/>
      <c r="D199" s="240"/>
      <c r="E199" s="240"/>
      <c r="F199" s="240"/>
      <c r="G199" s="240"/>
      <c r="H199" s="197"/>
      <c r="I199" s="198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>
      <c r="A200" s="239"/>
      <c r="B200" s="240"/>
      <c r="C200" s="240"/>
      <c r="D200" s="240"/>
      <c r="E200" s="240"/>
      <c r="F200" s="240"/>
      <c r="G200" s="240"/>
      <c r="H200" s="197"/>
      <c r="I200" s="198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>
      <c r="A201" s="239"/>
      <c r="B201" s="240"/>
      <c r="C201" s="240"/>
      <c r="D201" s="240"/>
      <c r="E201" s="240"/>
      <c r="F201" s="240"/>
      <c r="G201" s="240"/>
      <c r="H201" s="197"/>
      <c r="I201" s="198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>
      <c r="A202" s="239"/>
      <c r="B202" s="240"/>
      <c r="C202" s="240"/>
      <c r="D202" s="240"/>
      <c r="E202" s="240"/>
      <c r="F202" s="240"/>
      <c r="G202" s="240"/>
      <c r="H202" s="197"/>
      <c r="I202" s="198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>
      <c r="A203" s="239"/>
      <c r="B203" s="240"/>
      <c r="C203" s="240"/>
      <c r="D203" s="240"/>
      <c r="E203" s="240"/>
      <c r="F203" s="240"/>
      <c r="G203" s="240"/>
      <c r="H203" s="197"/>
      <c r="I203" s="198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>
      <c r="A204" s="239"/>
      <c r="B204" s="240"/>
      <c r="C204" s="240"/>
      <c r="D204" s="240"/>
      <c r="E204" s="240"/>
      <c r="F204" s="240"/>
      <c r="G204" s="240"/>
      <c r="H204" s="197"/>
      <c r="I204" s="198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>
      <c r="A205" s="239"/>
      <c r="B205" s="240"/>
      <c r="C205" s="240"/>
      <c r="D205" s="240"/>
      <c r="E205" s="240"/>
      <c r="F205" s="240"/>
      <c r="G205" s="240"/>
      <c r="H205" s="197"/>
      <c r="I205" s="198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>
      <c r="A206" s="239"/>
      <c r="B206" s="240"/>
      <c r="C206" s="240"/>
      <c r="D206" s="240"/>
      <c r="E206" s="240"/>
      <c r="F206" s="240"/>
      <c r="G206" s="240"/>
      <c r="H206" s="197"/>
      <c r="I206" s="198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>
      <c r="A207" s="239"/>
      <c r="B207" s="240"/>
      <c r="C207" s="240"/>
      <c r="D207" s="240"/>
      <c r="E207" s="240"/>
      <c r="F207" s="240"/>
      <c r="G207" s="240"/>
      <c r="H207" s="197"/>
      <c r="I207" s="198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>
      <c r="A208" s="239"/>
      <c r="B208" s="240"/>
      <c r="C208" s="240"/>
      <c r="D208" s="240"/>
      <c r="E208" s="240"/>
      <c r="F208" s="240"/>
      <c r="G208" s="240"/>
      <c r="H208" s="197"/>
      <c r="I208" s="198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>
      <c r="A209" s="239"/>
      <c r="B209" s="240"/>
      <c r="C209" s="240"/>
      <c r="D209" s="240"/>
      <c r="E209" s="240"/>
      <c r="F209" s="240"/>
      <c r="G209" s="240"/>
      <c r="H209" s="197"/>
      <c r="I209" s="198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>
      <c r="A210" s="239"/>
      <c r="B210" s="240"/>
      <c r="C210" s="240"/>
      <c r="D210" s="240"/>
      <c r="E210" s="240"/>
      <c r="F210" s="240"/>
      <c r="G210" s="240"/>
      <c r="H210" s="197"/>
      <c r="I210" s="198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>
      <c r="A211" s="239"/>
      <c r="B211" s="240"/>
      <c r="C211" s="240"/>
      <c r="D211" s="240"/>
      <c r="E211" s="240"/>
      <c r="F211" s="240"/>
      <c r="G211" s="240"/>
      <c r="H211" s="197"/>
      <c r="I211" s="198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>
      <c r="A212" s="239"/>
      <c r="B212" s="240"/>
      <c r="C212" s="240"/>
      <c r="D212" s="240"/>
      <c r="E212" s="240"/>
      <c r="F212" s="240"/>
      <c r="G212" s="240"/>
      <c r="H212" s="197"/>
      <c r="I212" s="198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>
      <c r="A213" s="239"/>
      <c r="B213" s="240"/>
      <c r="C213" s="240"/>
      <c r="D213" s="240"/>
      <c r="E213" s="240"/>
      <c r="F213" s="240"/>
      <c r="G213" s="240"/>
      <c r="H213" s="197"/>
      <c r="I213" s="198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>
      <c r="A214" s="239"/>
      <c r="B214" s="240"/>
      <c r="C214" s="240"/>
      <c r="D214" s="240"/>
      <c r="E214" s="240"/>
      <c r="F214" s="240"/>
      <c r="G214" s="240"/>
      <c r="H214" s="197"/>
      <c r="I214" s="198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>
      <c r="A215" s="239"/>
      <c r="B215" s="240"/>
      <c r="C215" s="240"/>
      <c r="D215" s="240"/>
      <c r="E215" s="240"/>
      <c r="F215" s="240"/>
      <c r="G215" s="240"/>
      <c r="H215" s="197"/>
      <c r="I215" s="198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>
      <c r="A216" s="239"/>
      <c r="B216" s="240"/>
      <c r="C216" s="240"/>
      <c r="D216" s="240"/>
      <c r="E216" s="240"/>
      <c r="F216" s="240"/>
      <c r="G216" s="240"/>
      <c r="H216" s="197"/>
      <c r="I216" s="198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>
      <c r="A217" s="239"/>
      <c r="B217" s="240"/>
      <c r="C217" s="240"/>
      <c r="D217" s="240"/>
      <c r="E217" s="240"/>
      <c r="F217" s="240"/>
      <c r="G217" s="240"/>
      <c r="H217" s="197"/>
      <c r="I217" s="198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>
      <c r="A218" s="239"/>
      <c r="B218" s="240"/>
      <c r="C218" s="240"/>
      <c r="D218" s="240"/>
      <c r="E218" s="240"/>
      <c r="F218" s="240"/>
      <c r="G218" s="240"/>
      <c r="H218" s="197"/>
      <c r="I218" s="198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>
      <c r="A219" s="239"/>
      <c r="B219" s="240"/>
      <c r="C219" s="240"/>
      <c r="D219" s="240"/>
      <c r="E219" s="240"/>
      <c r="F219" s="240"/>
      <c r="G219" s="240"/>
      <c r="H219" s="197"/>
      <c r="I219" s="198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>
      <c r="A220" s="239"/>
      <c r="B220" s="240"/>
      <c r="C220" s="240"/>
      <c r="D220" s="240"/>
      <c r="E220" s="240"/>
      <c r="F220" s="240"/>
      <c r="G220" s="240"/>
      <c r="H220" s="197"/>
      <c r="I220" s="198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>
      <c r="A221" s="239"/>
      <c r="B221" s="240"/>
      <c r="C221" s="240"/>
      <c r="D221" s="240"/>
      <c r="E221" s="240"/>
      <c r="F221" s="240"/>
      <c r="G221" s="240"/>
      <c r="H221" s="197"/>
      <c r="I221" s="198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</row>
    <row r="222">
      <c r="A222" s="239"/>
      <c r="B222" s="240"/>
      <c r="C222" s="240"/>
      <c r="D222" s="240"/>
      <c r="E222" s="240"/>
      <c r="F222" s="240"/>
      <c r="G222" s="240"/>
      <c r="H222" s="197"/>
      <c r="I222" s="198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>
      <c r="A223" s="239"/>
      <c r="B223" s="240"/>
      <c r="C223" s="240"/>
      <c r="D223" s="240"/>
      <c r="E223" s="240"/>
      <c r="F223" s="240"/>
      <c r="G223" s="240"/>
      <c r="H223" s="197"/>
      <c r="I223" s="198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</row>
    <row r="224">
      <c r="A224" s="239"/>
      <c r="B224" s="240"/>
      <c r="C224" s="240"/>
      <c r="D224" s="240"/>
      <c r="E224" s="240"/>
      <c r="F224" s="240"/>
      <c r="G224" s="240"/>
      <c r="H224" s="197"/>
      <c r="I224" s="198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</row>
    <row r="225">
      <c r="A225" s="239"/>
      <c r="B225" s="240"/>
      <c r="C225" s="240"/>
      <c r="D225" s="240"/>
      <c r="E225" s="240"/>
      <c r="F225" s="240"/>
      <c r="G225" s="240"/>
      <c r="H225" s="197"/>
      <c r="I225" s="198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</row>
    <row r="226">
      <c r="A226" s="239"/>
      <c r="B226" s="240"/>
      <c r="C226" s="240"/>
      <c r="D226" s="240"/>
      <c r="E226" s="240"/>
      <c r="F226" s="240"/>
      <c r="G226" s="240"/>
      <c r="H226" s="197"/>
      <c r="I226" s="198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</row>
    <row r="227">
      <c r="A227" s="239"/>
      <c r="B227" s="240"/>
      <c r="C227" s="240"/>
      <c r="D227" s="240"/>
      <c r="E227" s="240"/>
      <c r="F227" s="240"/>
      <c r="G227" s="240"/>
      <c r="H227" s="197"/>
      <c r="I227" s="198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</row>
    <row r="228">
      <c r="A228" s="239"/>
      <c r="B228" s="240"/>
      <c r="C228" s="240"/>
      <c r="D228" s="240"/>
      <c r="E228" s="240"/>
      <c r="F228" s="240"/>
      <c r="G228" s="240"/>
      <c r="H228" s="197"/>
      <c r="I228" s="198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</row>
    <row r="229">
      <c r="A229" s="239"/>
      <c r="B229" s="240"/>
      <c r="C229" s="240"/>
      <c r="D229" s="240"/>
      <c r="E229" s="240"/>
      <c r="F229" s="240"/>
      <c r="G229" s="240"/>
      <c r="H229" s="197"/>
      <c r="I229" s="198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</row>
    <row r="230">
      <c r="A230" s="239"/>
      <c r="B230" s="240"/>
      <c r="C230" s="240"/>
      <c r="D230" s="240"/>
      <c r="E230" s="240"/>
      <c r="F230" s="240"/>
      <c r="G230" s="240"/>
      <c r="H230" s="197"/>
      <c r="I230" s="198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</row>
    <row r="231">
      <c r="A231" s="239"/>
      <c r="B231" s="240"/>
      <c r="C231" s="240"/>
      <c r="D231" s="240"/>
      <c r="E231" s="240"/>
      <c r="F231" s="240"/>
      <c r="G231" s="240"/>
      <c r="H231" s="197"/>
      <c r="I231" s="198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</row>
    <row r="232">
      <c r="A232" s="239"/>
      <c r="B232" s="240"/>
      <c r="C232" s="240"/>
      <c r="D232" s="240"/>
      <c r="E232" s="240"/>
      <c r="F232" s="240"/>
      <c r="G232" s="240"/>
      <c r="H232" s="197"/>
      <c r="I232" s="198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</row>
    <row r="233">
      <c r="A233" s="239"/>
      <c r="B233" s="240"/>
      <c r="C233" s="240"/>
      <c r="D233" s="240"/>
      <c r="E233" s="240"/>
      <c r="F233" s="240"/>
      <c r="G233" s="240"/>
      <c r="H233" s="197"/>
      <c r="I233" s="198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</row>
    <row r="234">
      <c r="A234" s="239"/>
      <c r="B234" s="240"/>
      <c r="C234" s="240"/>
      <c r="D234" s="240"/>
      <c r="E234" s="240"/>
      <c r="F234" s="240"/>
      <c r="G234" s="240"/>
      <c r="H234" s="197"/>
      <c r="I234" s="198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</row>
    <row r="235">
      <c r="A235" s="239"/>
      <c r="B235" s="240"/>
      <c r="C235" s="240"/>
      <c r="D235" s="240"/>
      <c r="E235" s="240"/>
      <c r="F235" s="240"/>
      <c r="G235" s="240"/>
      <c r="H235" s="197"/>
      <c r="I235" s="198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</row>
    <row r="236">
      <c r="A236" s="239"/>
      <c r="B236" s="240"/>
      <c r="C236" s="240"/>
      <c r="D236" s="240"/>
      <c r="E236" s="240"/>
      <c r="F236" s="240"/>
      <c r="G236" s="240"/>
      <c r="H236" s="197"/>
      <c r="I236" s="198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</row>
    <row r="237">
      <c r="A237" s="239"/>
      <c r="B237" s="240"/>
      <c r="C237" s="240"/>
      <c r="D237" s="240"/>
      <c r="E237" s="240"/>
      <c r="F237" s="240"/>
      <c r="G237" s="240"/>
      <c r="H237" s="197"/>
      <c r="I237" s="198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</row>
    <row r="238">
      <c r="A238" s="239"/>
      <c r="B238" s="240"/>
      <c r="C238" s="240"/>
      <c r="D238" s="240"/>
      <c r="E238" s="240"/>
      <c r="F238" s="240"/>
      <c r="G238" s="240"/>
      <c r="H238" s="197"/>
      <c r="I238" s="198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</row>
    <row r="239">
      <c r="A239" s="239"/>
      <c r="B239" s="240"/>
      <c r="C239" s="240"/>
      <c r="D239" s="240"/>
      <c r="E239" s="240"/>
      <c r="F239" s="240"/>
      <c r="G239" s="240"/>
      <c r="H239" s="197"/>
      <c r="I239" s="198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</row>
    <row r="240">
      <c r="A240" s="239"/>
      <c r="B240" s="240"/>
      <c r="C240" s="240"/>
      <c r="D240" s="240"/>
      <c r="E240" s="240"/>
      <c r="F240" s="240"/>
      <c r="G240" s="240"/>
      <c r="H240" s="197"/>
      <c r="I240" s="198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</row>
    <row r="241">
      <c r="A241" s="239"/>
      <c r="B241" s="240"/>
      <c r="C241" s="240"/>
      <c r="D241" s="240"/>
      <c r="E241" s="240"/>
      <c r="F241" s="240"/>
      <c r="G241" s="240"/>
      <c r="H241" s="197"/>
      <c r="I241" s="198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</row>
    <row r="242">
      <c r="A242" s="239"/>
      <c r="B242" s="240"/>
      <c r="C242" s="240"/>
      <c r="D242" s="240"/>
      <c r="E242" s="240"/>
      <c r="F242" s="240"/>
      <c r="G242" s="240"/>
      <c r="H242" s="197"/>
      <c r="I242" s="198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</row>
    <row r="243">
      <c r="A243" s="239"/>
      <c r="B243" s="240"/>
      <c r="C243" s="240"/>
      <c r="D243" s="240"/>
      <c r="E243" s="240"/>
      <c r="F243" s="240"/>
      <c r="G243" s="240"/>
      <c r="H243" s="197"/>
      <c r="I243" s="198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>
      <c r="A244" s="239"/>
      <c r="B244" s="240"/>
      <c r="C244" s="240"/>
      <c r="D244" s="240"/>
      <c r="E244" s="240"/>
      <c r="F244" s="240"/>
      <c r="G244" s="240"/>
      <c r="H244" s="197"/>
      <c r="I244" s="198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</row>
    <row r="245">
      <c r="A245" s="239"/>
      <c r="B245" s="240"/>
      <c r="C245" s="240"/>
      <c r="D245" s="240"/>
      <c r="E245" s="240"/>
      <c r="F245" s="240"/>
      <c r="G245" s="240"/>
      <c r="H245" s="197"/>
      <c r="I245" s="198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</row>
    <row r="246">
      <c r="A246" s="239"/>
      <c r="B246" s="240"/>
      <c r="C246" s="240"/>
      <c r="D246" s="240"/>
      <c r="E246" s="240"/>
      <c r="F246" s="240"/>
      <c r="G246" s="240"/>
      <c r="H246" s="197"/>
      <c r="I246" s="198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</row>
    <row r="247">
      <c r="A247" s="239"/>
      <c r="B247" s="240"/>
      <c r="C247" s="240"/>
      <c r="D247" s="240"/>
      <c r="E247" s="240"/>
      <c r="F247" s="240"/>
      <c r="G247" s="240"/>
      <c r="H247" s="197"/>
      <c r="I247" s="198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</row>
    <row r="248">
      <c r="A248" s="239"/>
      <c r="B248" s="240"/>
      <c r="C248" s="240"/>
      <c r="D248" s="240"/>
      <c r="E248" s="240"/>
      <c r="F248" s="240"/>
      <c r="G248" s="240"/>
      <c r="H248" s="197"/>
      <c r="I248" s="198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</row>
    <row r="249">
      <c r="A249" s="239"/>
      <c r="B249" s="240"/>
      <c r="C249" s="240"/>
      <c r="D249" s="240"/>
      <c r="E249" s="240"/>
      <c r="F249" s="240"/>
      <c r="G249" s="240"/>
      <c r="H249" s="197"/>
      <c r="I249" s="198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</row>
    <row r="250">
      <c r="A250" s="239"/>
      <c r="B250" s="240"/>
      <c r="C250" s="240"/>
      <c r="D250" s="240"/>
      <c r="E250" s="240"/>
      <c r="F250" s="240"/>
      <c r="G250" s="240"/>
      <c r="H250" s="197"/>
      <c r="I250" s="198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</row>
    <row r="251">
      <c r="A251" s="239"/>
      <c r="B251" s="240"/>
      <c r="C251" s="240"/>
      <c r="D251" s="240"/>
      <c r="E251" s="240"/>
      <c r="F251" s="240"/>
      <c r="G251" s="240"/>
      <c r="H251" s="197"/>
      <c r="I251" s="198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</row>
    <row r="252">
      <c r="A252" s="239"/>
      <c r="B252" s="240"/>
      <c r="C252" s="240"/>
      <c r="D252" s="240"/>
      <c r="E252" s="240"/>
      <c r="F252" s="240"/>
      <c r="G252" s="240"/>
      <c r="H252" s="197"/>
      <c r="I252" s="198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</row>
    <row r="253">
      <c r="A253" s="239"/>
      <c r="B253" s="240"/>
      <c r="C253" s="240"/>
      <c r="D253" s="240"/>
      <c r="E253" s="240"/>
      <c r="F253" s="240"/>
      <c r="G253" s="240"/>
      <c r="H253" s="197"/>
      <c r="I253" s="198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</row>
    <row r="254">
      <c r="A254" s="239"/>
      <c r="B254" s="240"/>
      <c r="C254" s="240"/>
      <c r="D254" s="240"/>
      <c r="E254" s="240"/>
      <c r="F254" s="240"/>
      <c r="G254" s="240"/>
      <c r="H254" s="197"/>
      <c r="I254" s="198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</row>
    <row r="255">
      <c r="A255" s="239"/>
      <c r="B255" s="240"/>
      <c r="C255" s="240"/>
      <c r="D255" s="240"/>
      <c r="E255" s="240"/>
      <c r="F255" s="240"/>
      <c r="G255" s="240"/>
      <c r="H255" s="197"/>
      <c r="I255" s="198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</row>
    <row r="256">
      <c r="A256" s="239"/>
      <c r="B256" s="240"/>
      <c r="C256" s="240"/>
      <c r="D256" s="240"/>
      <c r="E256" s="240"/>
      <c r="F256" s="240"/>
      <c r="G256" s="240"/>
      <c r="H256" s="197"/>
      <c r="I256" s="198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>
      <c r="A257" s="239"/>
      <c r="B257" s="240"/>
      <c r="C257" s="240"/>
      <c r="D257" s="240"/>
      <c r="E257" s="240"/>
      <c r="F257" s="240"/>
      <c r="G257" s="240"/>
      <c r="H257" s="197"/>
      <c r="I257" s="198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</row>
    <row r="258">
      <c r="A258" s="239"/>
      <c r="B258" s="240"/>
      <c r="C258" s="240"/>
      <c r="D258" s="240"/>
      <c r="E258" s="240"/>
      <c r="F258" s="240"/>
      <c r="G258" s="240"/>
      <c r="H258" s="197"/>
      <c r="I258" s="198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</row>
    <row r="259">
      <c r="A259" s="239"/>
      <c r="B259" s="240"/>
      <c r="C259" s="240"/>
      <c r="D259" s="240"/>
      <c r="E259" s="240"/>
      <c r="F259" s="240"/>
      <c r="G259" s="240"/>
      <c r="H259" s="197"/>
      <c r="I259" s="198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</row>
    <row r="260">
      <c r="A260" s="239"/>
      <c r="B260" s="240"/>
      <c r="C260" s="240"/>
      <c r="D260" s="240"/>
      <c r="E260" s="240"/>
      <c r="F260" s="240"/>
      <c r="G260" s="240"/>
      <c r="H260" s="197"/>
      <c r="I260" s="198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</row>
    <row r="261">
      <c r="A261" s="239"/>
      <c r="B261" s="240"/>
      <c r="C261" s="240"/>
      <c r="D261" s="240"/>
      <c r="E261" s="240"/>
      <c r="F261" s="240"/>
      <c r="G261" s="240"/>
      <c r="H261" s="197"/>
      <c r="I261" s="198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</row>
    <row r="262">
      <c r="A262" s="239"/>
      <c r="B262" s="240"/>
      <c r="C262" s="240"/>
      <c r="D262" s="240"/>
      <c r="E262" s="240"/>
      <c r="F262" s="240"/>
      <c r="G262" s="240"/>
      <c r="H262" s="197"/>
      <c r="I262" s="198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</row>
    <row r="263">
      <c r="A263" s="239"/>
      <c r="B263" s="240"/>
      <c r="C263" s="240"/>
      <c r="D263" s="240"/>
      <c r="E263" s="240"/>
      <c r="F263" s="240"/>
      <c r="G263" s="240"/>
      <c r="H263" s="197"/>
      <c r="I263" s="198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</row>
    <row r="264">
      <c r="A264" s="239"/>
      <c r="B264" s="240"/>
      <c r="C264" s="240"/>
      <c r="D264" s="240"/>
      <c r="E264" s="240"/>
      <c r="F264" s="240"/>
      <c r="G264" s="240"/>
      <c r="H264" s="197"/>
      <c r="I264" s="198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</row>
    <row r="265">
      <c r="A265" s="239"/>
      <c r="B265" s="240"/>
      <c r="C265" s="240"/>
      <c r="D265" s="240"/>
      <c r="E265" s="240"/>
      <c r="F265" s="240"/>
      <c r="G265" s="240"/>
      <c r="H265" s="197"/>
      <c r="I265" s="198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</row>
    <row r="266">
      <c r="A266" s="239"/>
      <c r="B266" s="240"/>
      <c r="C266" s="240"/>
      <c r="D266" s="240"/>
      <c r="E266" s="240"/>
      <c r="F266" s="240"/>
      <c r="G266" s="240"/>
      <c r="H266" s="197"/>
      <c r="I266" s="198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</row>
    <row r="267">
      <c r="A267" s="239"/>
      <c r="B267" s="240"/>
      <c r="C267" s="240"/>
      <c r="D267" s="240"/>
      <c r="E267" s="240"/>
      <c r="F267" s="240"/>
      <c r="G267" s="240"/>
      <c r="H267" s="197"/>
      <c r="I267" s="198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</row>
    <row r="268">
      <c r="A268" s="239"/>
      <c r="B268" s="240"/>
      <c r="C268" s="240"/>
      <c r="D268" s="240"/>
      <c r="E268" s="240"/>
      <c r="F268" s="240"/>
      <c r="G268" s="240"/>
      <c r="H268" s="197"/>
      <c r="I268" s="198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</row>
    <row r="269">
      <c r="A269" s="239"/>
      <c r="B269" s="240"/>
      <c r="C269" s="240"/>
      <c r="D269" s="240"/>
      <c r="E269" s="240"/>
      <c r="F269" s="240"/>
      <c r="G269" s="240"/>
      <c r="H269" s="197"/>
      <c r="I269" s="198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</row>
    <row r="270">
      <c r="A270" s="239"/>
      <c r="B270" s="240"/>
      <c r="C270" s="240"/>
      <c r="D270" s="240"/>
      <c r="E270" s="240"/>
      <c r="F270" s="240"/>
      <c r="G270" s="240"/>
      <c r="H270" s="197"/>
      <c r="I270" s="198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>
      <c r="A271" s="239"/>
      <c r="B271" s="240"/>
      <c r="C271" s="240"/>
      <c r="D271" s="240"/>
      <c r="E271" s="240"/>
      <c r="F271" s="240"/>
      <c r="G271" s="240"/>
      <c r="H271" s="197"/>
      <c r="I271" s="198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</row>
    <row r="272">
      <c r="A272" s="239"/>
      <c r="B272" s="240"/>
      <c r="C272" s="240"/>
      <c r="D272" s="240"/>
      <c r="E272" s="240"/>
      <c r="F272" s="240"/>
      <c r="G272" s="240"/>
      <c r="H272" s="197"/>
      <c r="I272" s="198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</row>
    <row r="273">
      <c r="A273" s="239"/>
      <c r="B273" s="240"/>
      <c r="C273" s="240"/>
      <c r="D273" s="240"/>
      <c r="E273" s="240"/>
      <c r="F273" s="240"/>
      <c r="G273" s="240"/>
      <c r="H273" s="197"/>
      <c r="I273" s="198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</row>
    <row r="274">
      <c r="A274" s="239"/>
      <c r="B274" s="240"/>
      <c r="C274" s="240"/>
      <c r="D274" s="240"/>
      <c r="E274" s="240"/>
      <c r="F274" s="240"/>
      <c r="G274" s="240"/>
      <c r="H274" s="197"/>
      <c r="I274" s="198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</row>
    <row r="275">
      <c r="A275" s="239"/>
      <c r="B275" s="240"/>
      <c r="C275" s="240"/>
      <c r="D275" s="240"/>
      <c r="E275" s="240"/>
      <c r="F275" s="240"/>
      <c r="G275" s="240"/>
      <c r="H275" s="197"/>
      <c r="I275" s="198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</row>
    <row r="276">
      <c r="A276" s="239"/>
      <c r="B276" s="240"/>
      <c r="C276" s="240"/>
      <c r="D276" s="240"/>
      <c r="E276" s="240"/>
      <c r="F276" s="240"/>
      <c r="G276" s="240"/>
      <c r="H276" s="197"/>
      <c r="I276" s="198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</row>
    <row r="277">
      <c r="A277" s="239"/>
      <c r="B277" s="240"/>
      <c r="C277" s="240"/>
      <c r="D277" s="240"/>
      <c r="E277" s="240"/>
      <c r="F277" s="240"/>
      <c r="G277" s="240"/>
      <c r="H277" s="197"/>
      <c r="I277" s="198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</row>
    <row r="278">
      <c r="A278" s="239"/>
      <c r="B278" s="240"/>
      <c r="C278" s="240"/>
      <c r="D278" s="240"/>
      <c r="E278" s="240"/>
      <c r="F278" s="240"/>
      <c r="G278" s="240"/>
      <c r="H278" s="197"/>
      <c r="I278" s="198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</row>
    <row r="279">
      <c r="A279" s="239"/>
      <c r="B279" s="240"/>
      <c r="C279" s="240"/>
      <c r="D279" s="240"/>
      <c r="E279" s="240"/>
      <c r="F279" s="240"/>
      <c r="G279" s="240"/>
      <c r="H279" s="197"/>
      <c r="I279" s="198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</row>
    <row r="280">
      <c r="A280" s="239"/>
      <c r="B280" s="240"/>
      <c r="C280" s="240"/>
      <c r="D280" s="240"/>
      <c r="E280" s="240"/>
      <c r="F280" s="240"/>
      <c r="G280" s="240"/>
      <c r="H280" s="197"/>
      <c r="I280" s="198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</row>
    <row r="281">
      <c r="A281" s="239"/>
      <c r="B281" s="240"/>
      <c r="C281" s="240"/>
      <c r="D281" s="240"/>
      <c r="E281" s="240"/>
      <c r="F281" s="240"/>
      <c r="G281" s="240"/>
      <c r="H281" s="197"/>
      <c r="I281" s="198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</row>
    <row r="282">
      <c r="A282" s="239"/>
      <c r="B282" s="240"/>
      <c r="C282" s="240"/>
      <c r="D282" s="240"/>
      <c r="E282" s="240"/>
      <c r="F282" s="240"/>
      <c r="G282" s="240"/>
      <c r="H282" s="197"/>
      <c r="I282" s="198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</row>
    <row r="283">
      <c r="A283" s="239"/>
      <c r="B283" s="240"/>
      <c r="C283" s="240"/>
      <c r="D283" s="240"/>
      <c r="E283" s="240"/>
      <c r="F283" s="240"/>
      <c r="G283" s="240"/>
      <c r="H283" s="197"/>
      <c r="I283" s="198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</row>
    <row r="284">
      <c r="A284" s="239"/>
      <c r="B284" s="240"/>
      <c r="C284" s="240"/>
      <c r="D284" s="240"/>
      <c r="E284" s="240"/>
      <c r="F284" s="240"/>
      <c r="G284" s="240"/>
      <c r="H284" s="197"/>
      <c r="I284" s="198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>
      <c r="A285" s="239"/>
      <c r="B285" s="240"/>
      <c r="C285" s="240"/>
      <c r="D285" s="240"/>
      <c r="E285" s="240"/>
      <c r="F285" s="240"/>
      <c r="G285" s="240"/>
      <c r="H285" s="197"/>
      <c r="I285" s="198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</row>
    <row r="286">
      <c r="A286" s="239"/>
      <c r="B286" s="240"/>
      <c r="C286" s="240"/>
      <c r="D286" s="240"/>
      <c r="E286" s="240"/>
      <c r="F286" s="240"/>
      <c r="G286" s="240"/>
      <c r="H286" s="197"/>
      <c r="I286" s="198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</row>
    <row r="287">
      <c r="A287" s="239"/>
      <c r="B287" s="240"/>
      <c r="C287" s="240"/>
      <c r="D287" s="240"/>
      <c r="E287" s="240"/>
      <c r="F287" s="240"/>
      <c r="G287" s="240"/>
      <c r="H287" s="197"/>
      <c r="I287" s="198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</row>
    <row r="288">
      <c r="A288" s="239"/>
      <c r="B288" s="240"/>
      <c r="C288" s="240"/>
      <c r="D288" s="240"/>
      <c r="E288" s="240"/>
      <c r="F288" s="240"/>
      <c r="G288" s="240"/>
      <c r="H288" s="197"/>
      <c r="I288" s="198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</row>
    <row r="289">
      <c r="A289" s="239"/>
      <c r="B289" s="240"/>
      <c r="C289" s="240"/>
      <c r="D289" s="240"/>
      <c r="E289" s="240"/>
      <c r="F289" s="240"/>
      <c r="G289" s="240"/>
      <c r="H289" s="197"/>
      <c r="I289" s="198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</row>
    <row r="290">
      <c r="A290" s="239"/>
      <c r="B290" s="240"/>
      <c r="C290" s="240"/>
      <c r="D290" s="240"/>
      <c r="E290" s="240"/>
      <c r="F290" s="240"/>
      <c r="G290" s="240"/>
      <c r="H290" s="197"/>
      <c r="I290" s="198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</row>
    <row r="291">
      <c r="A291" s="239"/>
      <c r="B291" s="240"/>
      <c r="C291" s="240"/>
      <c r="D291" s="240"/>
      <c r="E291" s="240"/>
      <c r="F291" s="240"/>
      <c r="G291" s="240"/>
      <c r="H291" s="197"/>
      <c r="I291" s="198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</row>
    <row r="292">
      <c r="A292" s="239"/>
      <c r="B292" s="240"/>
      <c r="C292" s="240"/>
      <c r="D292" s="240"/>
      <c r="E292" s="240"/>
      <c r="F292" s="240"/>
      <c r="G292" s="240"/>
      <c r="H292" s="197"/>
      <c r="I292" s="198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</row>
    <row r="293">
      <c r="A293" s="239"/>
      <c r="B293" s="240"/>
      <c r="C293" s="240"/>
      <c r="D293" s="240"/>
      <c r="E293" s="240"/>
      <c r="F293" s="240"/>
      <c r="G293" s="240"/>
      <c r="H293" s="197"/>
      <c r="I293" s="198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</row>
    <row r="294">
      <c r="A294" s="239"/>
      <c r="B294" s="240"/>
      <c r="C294" s="240"/>
      <c r="D294" s="240"/>
      <c r="E294" s="240"/>
      <c r="F294" s="240"/>
      <c r="G294" s="240"/>
      <c r="H294" s="197"/>
      <c r="I294" s="198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</row>
    <row r="295">
      <c r="A295" s="239"/>
      <c r="B295" s="240"/>
      <c r="C295" s="240"/>
      <c r="D295" s="240"/>
      <c r="E295" s="240"/>
      <c r="F295" s="240"/>
      <c r="G295" s="240"/>
      <c r="H295" s="197"/>
      <c r="I295" s="198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</row>
    <row r="296">
      <c r="A296" s="239"/>
      <c r="B296" s="240"/>
      <c r="C296" s="240"/>
      <c r="D296" s="240"/>
      <c r="E296" s="240"/>
      <c r="F296" s="240"/>
      <c r="G296" s="240"/>
      <c r="H296" s="197"/>
      <c r="I296" s="198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</row>
    <row r="297">
      <c r="A297" s="239"/>
      <c r="B297" s="240"/>
      <c r="C297" s="240"/>
      <c r="D297" s="240"/>
      <c r="E297" s="240"/>
      <c r="F297" s="240"/>
      <c r="G297" s="240"/>
      <c r="H297" s="197"/>
      <c r="I297" s="198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</row>
    <row r="298">
      <c r="A298" s="239"/>
      <c r="B298" s="240"/>
      <c r="C298" s="240"/>
      <c r="D298" s="240"/>
      <c r="E298" s="240"/>
      <c r="F298" s="240"/>
      <c r="G298" s="240"/>
      <c r="H298" s="197"/>
      <c r="I298" s="198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</row>
    <row r="299">
      <c r="A299" s="239"/>
      <c r="B299" s="240"/>
      <c r="C299" s="240"/>
      <c r="D299" s="240"/>
      <c r="E299" s="240"/>
      <c r="F299" s="240"/>
      <c r="G299" s="240"/>
      <c r="H299" s="197"/>
      <c r="I299" s="198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</row>
    <row r="300">
      <c r="A300" s="239"/>
      <c r="B300" s="240"/>
      <c r="C300" s="240"/>
      <c r="D300" s="240"/>
      <c r="E300" s="240"/>
      <c r="F300" s="240"/>
      <c r="G300" s="240"/>
      <c r="H300" s="197"/>
      <c r="I300" s="198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</row>
    <row r="301">
      <c r="A301" s="239"/>
      <c r="B301" s="240"/>
      <c r="C301" s="240"/>
      <c r="D301" s="240"/>
      <c r="E301" s="240"/>
      <c r="F301" s="240"/>
      <c r="G301" s="240"/>
      <c r="H301" s="197"/>
      <c r="I301" s="198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>
      <c r="A302" s="239"/>
      <c r="B302" s="240"/>
      <c r="C302" s="240"/>
      <c r="D302" s="240"/>
      <c r="E302" s="240"/>
      <c r="F302" s="240"/>
      <c r="G302" s="240"/>
      <c r="H302" s="197"/>
      <c r="I302" s="198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>
      <c r="A303" s="239"/>
      <c r="B303" s="240"/>
      <c r="C303" s="240"/>
      <c r="D303" s="240"/>
      <c r="E303" s="240"/>
      <c r="F303" s="240"/>
      <c r="G303" s="240"/>
      <c r="H303" s="197"/>
      <c r="I303" s="198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>
      <c r="A304" s="239"/>
      <c r="B304" s="240"/>
      <c r="C304" s="240"/>
      <c r="D304" s="240"/>
      <c r="E304" s="240"/>
      <c r="F304" s="240"/>
      <c r="G304" s="240"/>
      <c r="H304" s="197"/>
      <c r="I304" s="198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>
      <c r="A305" s="239"/>
      <c r="B305" s="240"/>
      <c r="C305" s="240"/>
      <c r="D305" s="240"/>
      <c r="E305" s="240"/>
      <c r="F305" s="240"/>
      <c r="G305" s="240"/>
      <c r="H305" s="197"/>
      <c r="I305" s="198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>
      <c r="A306" s="239"/>
      <c r="B306" s="240"/>
      <c r="C306" s="240"/>
      <c r="D306" s="240"/>
      <c r="E306" s="240"/>
      <c r="F306" s="240"/>
      <c r="G306" s="240"/>
      <c r="H306" s="197"/>
      <c r="I306" s="198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>
      <c r="A307" s="239"/>
      <c r="B307" s="240"/>
      <c r="C307" s="240"/>
      <c r="D307" s="240"/>
      <c r="E307" s="240"/>
      <c r="F307" s="240"/>
      <c r="G307" s="240"/>
      <c r="H307" s="197"/>
      <c r="I307" s="198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>
      <c r="A308" s="239"/>
      <c r="B308" s="240"/>
      <c r="C308" s="240"/>
      <c r="D308" s="240"/>
      <c r="E308" s="240"/>
      <c r="F308" s="240"/>
      <c r="G308" s="240"/>
      <c r="H308" s="197"/>
      <c r="I308" s="198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>
      <c r="A309" s="239"/>
      <c r="B309" s="240"/>
      <c r="C309" s="240"/>
      <c r="D309" s="240"/>
      <c r="E309" s="240"/>
      <c r="F309" s="240"/>
      <c r="G309" s="240"/>
      <c r="H309" s="197"/>
      <c r="I309" s="198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>
      <c r="A310" s="239"/>
      <c r="B310" s="240"/>
      <c r="C310" s="240"/>
      <c r="D310" s="240"/>
      <c r="E310" s="240"/>
      <c r="F310" s="240"/>
      <c r="G310" s="240"/>
      <c r="H310" s="197"/>
      <c r="I310" s="198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>
      <c r="A311" s="239"/>
      <c r="B311" s="240"/>
      <c r="C311" s="240"/>
      <c r="D311" s="240"/>
      <c r="E311" s="240"/>
      <c r="F311" s="240"/>
      <c r="G311" s="240"/>
      <c r="H311" s="197"/>
      <c r="I311" s="198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>
      <c r="A312" s="239"/>
      <c r="B312" s="240"/>
      <c r="C312" s="240"/>
      <c r="D312" s="240"/>
      <c r="E312" s="240"/>
      <c r="F312" s="240"/>
      <c r="G312" s="240"/>
      <c r="H312" s="197"/>
      <c r="I312" s="198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>
      <c r="A313" s="239"/>
      <c r="B313" s="240"/>
      <c r="C313" s="240"/>
      <c r="D313" s="240"/>
      <c r="E313" s="240"/>
      <c r="F313" s="240"/>
      <c r="G313" s="240"/>
      <c r="H313" s="197"/>
      <c r="I313" s="198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>
      <c r="A314" s="239"/>
      <c r="B314" s="240"/>
      <c r="C314" s="240"/>
      <c r="D314" s="240"/>
      <c r="E314" s="240"/>
      <c r="F314" s="240"/>
      <c r="G314" s="240"/>
      <c r="H314" s="197"/>
      <c r="I314" s="198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>
      <c r="A315" s="239"/>
      <c r="B315" s="240"/>
      <c r="C315" s="240"/>
      <c r="D315" s="240"/>
      <c r="E315" s="240"/>
      <c r="F315" s="240"/>
      <c r="G315" s="240"/>
      <c r="H315" s="197"/>
      <c r="I315" s="198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>
      <c r="A316" s="239"/>
      <c r="B316" s="240"/>
      <c r="C316" s="240"/>
      <c r="D316" s="240"/>
      <c r="E316" s="240"/>
      <c r="F316" s="240"/>
      <c r="G316" s="240"/>
      <c r="H316" s="197"/>
      <c r="I316" s="198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>
      <c r="A317" s="239"/>
      <c r="B317" s="240"/>
      <c r="C317" s="240"/>
      <c r="D317" s="240"/>
      <c r="E317" s="240"/>
      <c r="F317" s="240"/>
      <c r="G317" s="240"/>
      <c r="H317" s="197"/>
      <c r="I317" s="198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>
      <c r="A318" s="239"/>
      <c r="B318" s="240"/>
      <c r="C318" s="240"/>
      <c r="D318" s="240"/>
      <c r="E318" s="240"/>
      <c r="F318" s="240"/>
      <c r="G318" s="240"/>
      <c r="H318" s="197"/>
      <c r="I318" s="198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>
      <c r="A319" s="239"/>
      <c r="B319" s="240"/>
      <c r="C319" s="240"/>
      <c r="D319" s="240"/>
      <c r="E319" s="240"/>
      <c r="F319" s="240"/>
      <c r="G319" s="240"/>
      <c r="H319" s="197"/>
      <c r="I319" s="198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>
      <c r="A320" s="239"/>
      <c r="B320" s="240"/>
      <c r="C320" s="240"/>
      <c r="D320" s="240"/>
      <c r="E320" s="240"/>
      <c r="F320" s="240"/>
      <c r="G320" s="240"/>
      <c r="H320" s="197"/>
      <c r="I320" s="198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>
      <c r="A321" s="239"/>
      <c r="B321" s="240"/>
      <c r="C321" s="240"/>
      <c r="D321" s="240"/>
      <c r="E321" s="240"/>
      <c r="F321" s="240"/>
      <c r="G321" s="240"/>
      <c r="H321" s="197"/>
      <c r="I321" s="198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>
      <c r="A322" s="239"/>
      <c r="B322" s="240"/>
      <c r="C322" s="240"/>
      <c r="D322" s="240"/>
      <c r="E322" s="240"/>
      <c r="F322" s="240"/>
      <c r="G322" s="240"/>
      <c r="H322" s="197"/>
      <c r="I322" s="198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>
      <c r="A323" s="239"/>
      <c r="B323" s="240"/>
      <c r="C323" s="240"/>
      <c r="D323" s="240"/>
      <c r="E323" s="240"/>
      <c r="F323" s="240"/>
      <c r="G323" s="240"/>
      <c r="H323" s="197"/>
      <c r="I323" s="198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>
      <c r="A324" s="239"/>
      <c r="B324" s="240"/>
      <c r="C324" s="240"/>
      <c r="D324" s="240"/>
      <c r="E324" s="240"/>
      <c r="F324" s="240"/>
      <c r="G324" s="240"/>
      <c r="H324" s="197"/>
      <c r="I324" s="198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>
      <c r="A325" s="239"/>
      <c r="B325" s="240"/>
      <c r="C325" s="240"/>
      <c r="D325" s="240"/>
      <c r="E325" s="240"/>
      <c r="F325" s="240"/>
      <c r="G325" s="240"/>
      <c r="H325" s="197"/>
      <c r="I325" s="198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>
      <c r="A326" s="239"/>
      <c r="B326" s="240"/>
      <c r="C326" s="240"/>
      <c r="D326" s="240"/>
      <c r="E326" s="240"/>
      <c r="F326" s="240"/>
      <c r="G326" s="240"/>
      <c r="H326" s="197"/>
      <c r="I326" s="198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>
      <c r="A327" s="239"/>
      <c r="B327" s="240"/>
      <c r="C327" s="240"/>
      <c r="D327" s="240"/>
      <c r="E327" s="240"/>
      <c r="F327" s="240"/>
      <c r="G327" s="240"/>
      <c r="H327" s="197"/>
      <c r="I327" s="198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>
      <c r="A328" s="239"/>
      <c r="B328" s="240"/>
      <c r="C328" s="240"/>
      <c r="D328" s="240"/>
      <c r="E328" s="240"/>
      <c r="F328" s="240"/>
      <c r="G328" s="240"/>
      <c r="H328" s="197"/>
      <c r="I328" s="198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>
      <c r="A329" s="239"/>
      <c r="B329" s="240"/>
      <c r="C329" s="240"/>
      <c r="D329" s="240"/>
      <c r="E329" s="240"/>
      <c r="F329" s="240"/>
      <c r="G329" s="240"/>
      <c r="H329" s="197"/>
      <c r="I329" s="198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>
      <c r="A330" s="239"/>
      <c r="B330" s="240"/>
      <c r="C330" s="240"/>
      <c r="D330" s="240"/>
      <c r="E330" s="240"/>
      <c r="F330" s="240"/>
      <c r="G330" s="240"/>
      <c r="H330" s="197"/>
      <c r="I330" s="198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>
      <c r="A331" s="239"/>
      <c r="B331" s="240"/>
      <c r="C331" s="240"/>
      <c r="D331" s="240"/>
      <c r="E331" s="240"/>
      <c r="F331" s="240"/>
      <c r="G331" s="240"/>
      <c r="H331" s="197"/>
      <c r="I331" s="198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>
      <c r="A332" s="239"/>
      <c r="B332" s="240"/>
      <c r="C332" s="240"/>
      <c r="D332" s="240"/>
      <c r="E332" s="240"/>
      <c r="F332" s="240"/>
      <c r="G332" s="240"/>
      <c r="H332" s="197"/>
      <c r="I332" s="198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>
      <c r="A333" s="239"/>
      <c r="B333" s="240"/>
      <c r="C333" s="240"/>
      <c r="D333" s="240"/>
      <c r="E333" s="240"/>
      <c r="F333" s="240"/>
      <c r="G333" s="240"/>
      <c r="H333" s="197"/>
      <c r="I333" s="198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>
      <c r="A334" s="239"/>
      <c r="B334" s="240"/>
      <c r="C334" s="240"/>
      <c r="D334" s="240"/>
      <c r="E334" s="240"/>
      <c r="F334" s="240"/>
      <c r="G334" s="240"/>
      <c r="H334" s="197"/>
      <c r="I334" s="198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>
      <c r="A335" s="239"/>
      <c r="B335" s="240"/>
      <c r="C335" s="240"/>
      <c r="D335" s="240"/>
      <c r="E335" s="240"/>
      <c r="F335" s="240"/>
      <c r="G335" s="240"/>
      <c r="H335" s="197"/>
      <c r="I335" s="198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>
      <c r="A336" s="239"/>
      <c r="B336" s="240"/>
      <c r="C336" s="240"/>
      <c r="D336" s="240"/>
      <c r="E336" s="240"/>
      <c r="F336" s="240"/>
      <c r="G336" s="240"/>
      <c r="H336" s="197"/>
      <c r="I336" s="198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>
      <c r="A337" s="239"/>
      <c r="B337" s="240"/>
      <c r="C337" s="240"/>
      <c r="D337" s="240"/>
      <c r="E337" s="240"/>
      <c r="F337" s="240"/>
      <c r="G337" s="240"/>
      <c r="H337" s="197"/>
      <c r="I337" s="198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>
      <c r="A338" s="239"/>
      <c r="B338" s="240"/>
      <c r="C338" s="240"/>
      <c r="D338" s="240"/>
      <c r="E338" s="240"/>
      <c r="F338" s="240"/>
      <c r="G338" s="240"/>
      <c r="H338" s="197"/>
      <c r="I338" s="198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>
      <c r="A339" s="239"/>
      <c r="B339" s="240"/>
      <c r="C339" s="240"/>
      <c r="D339" s="240"/>
      <c r="E339" s="240"/>
      <c r="F339" s="240"/>
      <c r="G339" s="240"/>
      <c r="H339" s="197"/>
      <c r="I339" s="198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>
      <c r="A340" s="239"/>
      <c r="B340" s="240"/>
      <c r="C340" s="240"/>
      <c r="D340" s="240"/>
      <c r="E340" s="240"/>
      <c r="F340" s="240"/>
      <c r="G340" s="240"/>
      <c r="H340" s="197"/>
      <c r="I340" s="198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>
      <c r="A341" s="239"/>
      <c r="B341" s="240"/>
      <c r="C341" s="240"/>
      <c r="D341" s="240"/>
      <c r="E341" s="240"/>
      <c r="F341" s="240"/>
      <c r="G341" s="240"/>
      <c r="H341" s="197"/>
      <c r="I341" s="198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>
      <c r="A342" s="239"/>
      <c r="B342" s="240"/>
      <c r="C342" s="240"/>
      <c r="D342" s="240"/>
      <c r="E342" s="240"/>
      <c r="F342" s="240"/>
      <c r="G342" s="240"/>
      <c r="H342" s="197"/>
      <c r="I342" s="198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>
      <c r="A343" s="239"/>
      <c r="B343" s="240"/>
      <c r="C343" s="240"/>
      <c r="D343" s="240"/>
      <c r="E343" s="240"/>
      <c r="F343" s="240"/>
      <c r="G343" s="240"/>
      <c r="H343" s="197"/>
      <c r="I343" s="198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>
      <c r="A344" s="239"/>
      <c r="B344" s="240"/>
      <c r="C344" s="240"/>
      <c r="D344" s="240"/>
      <c r="E344" s="240"/>
      <c r="F344" s="240"/>
      <c r="G344" s="240"/>
      <c r="H344" s="197"/>
      <c r="I344" s="198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>
      <c r="A345" s="239"/>
      <c r="B345" s="240"/>
      <c r="C345" s="240"/>
      <c r="D345" s="240"/>
      <c r="E345" s="240"/>
      <c r="F345" s="240"/>
      <c r="G345" s="240"/>
      <c r="H345" s="197"/>
      <c r="I345" s="198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>
      <c r="A346" s="239"/>
      <c r="B346" s="240"/>
      <c r="C346" s="240"/>
      <c r="D346" s="240"/>
      <c r="E346" s="240"/>
      <c r="F346" s="240"/>
      <c r="G346" s="240"/>
      <c r="H346" s="197"/>
      <c r="I346" s="198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>
      <c r="A347" s="239"/>
      <c r="B347" s="240"/>
      <c r="C347" s="240"/>
      <c r="D347" s="240"/>
      <c r="E347" s="240"/>
      <c r="F347" s="240"/>
      <c r="G347" s="240"/>
      <c r="H347" s="197"/>
      <c r="I347" s="198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>
      <c r="A348" s="239"/>
      <c r="B348" s="240"/>
      <c r="C348" s="240"/>
      <c r="D348" s="240"/>
      <c r="E348" s="240"/>
      <c r="F348" s="240"/>
      <c r="G348" s="240"/>
      <c r="H348" s="197"/>
      <c r="I348" s="198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>
      <c r="A349" s="239"/>
      <c r="B349" s="240"/>
      <c r="C349" s="240"/>
      <c r="D349" s="240"/>
      <c r="E349" s="240"/>
      <c r="F349" s="240"/>
      <c r="G349" s="240"/>
      <c r="H349" s="197"/>
      <c r="I349" s="198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>
      <c r="A350" s="239"/>
      <c r="B350" s="240"/>
      <c r="C350" s="240"/>
      <c r="D350" s="240"/>
      <c r="E350" s="240"/>
      <c r="F350" s="240"/>
      <c r="G350" s="240"/>
      <c r="H350" s="197"/>
      <c r="I350" s="198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>
      <c r="A351" s="239"/>
      <c r="B351" s="240"/>
      <c r="C351" s="240"/>
      <c r="D351" s="240"/>
      <c r="E351" s="240"/>
      <c r="F351" s="240"/>
      <c r="G351" s="240"/>
      <c r="H351" s="197"/>
      <c r="I351" s="198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>
      <c r="A352" s="239"/>
      <c r="B352" s="240"/>
      <c r="C352" s="240"/>
      <c r="D352" s="240"/>
      <c r="E352" s="240"/>
      <c r="F352" s="240"/>
      <c r="G352" s="240"/>
      <c r="H352" s="197"/>
      <c r="I352" s="198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>
      <c r="A353" s="239"/>
      <c r="B353" s="240"/>
      <c r="C353" s="240"/>
      <c r="D353" s="240"/>
      <c r="E353" s="240"/>
      <c r="F353" s="240"/>
      <c r="G353" s="240"/>
      <c r="H353" s="197"/>
      <c r="I353" s="198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>
      <c r="A354" s="239"/>
      <c r="B354" s="240"/>
      <c r="C354" s="240"/>
      <c r="D354" s="240"/>
      <c r="E354" s="240"/>
      <c r="F354" s="240"/>
      <c r="G354" s="240"/>
      <c r="H354" s="197"/>
      <c r="I354" s="198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>
      <c r="A355" s="239"/>
      <c r="B355" s="240"/>
      <c r="C355" s="240"/>
      <c r="D355" s="240"/>
      <c r="E355" s="240"/>
      <c r="F355" s="240"/>
      <c r="G355" s="240"/>
      <c r="H355" s="197"/>
      <c r="I355" s="198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>
      <c r="A356" s="239"/>
      <c r="B356" s="240"/>
      <c r="C356" s="240"/>
      <c r="D356" s="240"/>
      <c r="E356" s="240"/>
      <c r="F356" s="240"/>
      <c r="G356" s="240"/>
      <c r="H356" s="197"/>
      <c r="I356" s="198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>
      <c r="A357" s="239"/>
      <c r="B357" s="240"/>
      <c r="C357" s="240"/>
      <c r="D357" s="240"/>
      <c r="E357" s="240"/>
      <c r="F357" s="240"/>
      <c r="G357" s="240"/>
      <c r="H357" s="197"/>
      <c r="I357" s="198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>
      <c r="A358" s="239"/>
      <c r="B358" s="240"/>
      <c r="C358" s="240"/>
      <c r="D358" s="240"/>
      <c r="E358" s="240"/>
      <c r="F358" s="240"/>
      <c r="G358" s="240"/>
      <c r="H358" s="197"/>
      <c r="I358" s="198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>
      <c r="A359" s="239"/>
      <c r="B359" s="240"/>
      <c r="C359" s="240"/>
      <c r="D359" s="240"/>
      <c r="E359" s="240"/>
      <c r="F359" s="240"/>
      <c r="G359" s="240"/>
      <c r="H359" s="197"/>
      <c r="I359" s="198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>
      <c r="A360" s="239"/>
      <c r="B360" s="240"/>
      <c r="C360" s="240"/>
      <c r="D360" s="240"/>
      <c r="E360" s="240"/>
      <c r="F360" s="240"/>
      <c r="G360" s="240"/>
      <c r="H360" s="197"/>
      <c r="I360" s="198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>
      <c r="A361" s="239"/>
      <c r="B361" s="240"/>
      <c r="C361" s="240"/>
      <c r="D361" s="240"/>
      <c r="E361" s="240"/>
      <c r="F361" s="240"/>
      <c r="G361" s="240"/>
      <c r="H361" s="197"/>
      <c r="I361" s="198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>
      <c r="A362" s="239"/>
      <c r="B362" s="240"/>
      <c r="C362" s="240"/>
      <c r="D362" s="240"/>
      <c r="E362" s="240"/>
      <c r="F362" s="240"/>
      <c r="G362" s="240"/>
      <c r="H362" s="197"/>
      <c r="I362" s="198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>
      <c r="A363" s="239"/>
      <c r="B363" s="240"/>
      <c r="C363" s="240"/>
      <c r="D363" s="240"/>
      <c r="E363" s="240"/>
      <c r="F363" s="240"/>
      <c r="G363" s="240"/>
      <c r="H363" s="197"/>
      <c r="I363" s="198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>
      <c r="A364" s="239"/>
      <c r="B364" s="240"/>
      <c r="C364" s="240"/>
      <c r="D364" s="240"/>
      <c r="E364" s="240"/>
      <c r="F364" s="240"/>
      <c r="G364" s="240"/>
      <c r="H364" s="197"/>
      <c r="I364" s="198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>
      <c r="A365" s="239"/>
      <c r="B365" s="240"/>
      <c r="C365" s="240"/>
      <c r="D365" s="240"/>
      <c r="E365" s="240"/>
      <c r="F365" s="240"/>
      <c r="G365" s="240"/>
      <c r="H365" s="197"/>
      <c r="I365" s="198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>
      <c r="A366" s="239"/>
      <c r="B366" s="240"/>
      <c r="C366" s="240"/>
      <c r="D366" s="240"/>
      <c r="E366" s="240"/>
      <c r="F366" s="240"/>
      <c r="G366" s="240"/>
      <c r="H366" s="197"/>
      <c r="I366" s="198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>
      <c r="A367" s="239"/>
      <c r="B367" s="240"/>
      <c r="C367" s="240"/>
      <c r="D367" s="240"/>
      <c r="E367" s="240"/>
      <c r="F367" s="240"/>
      <c r="G367" s="240"/>
      <c r="H367" s="197"/>
      <c r="I367" s="198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>
      <c r="A368" s="239"/>
      <c r="B368" s="240"/>
      <c r="C368" s="240"/>
      <c r="D368" s="240"/>
      <c r="E368" s="240"/>
      <c r="F368" s="240"/>
      <c r="G368" s="240"/>
      <c r="H368" s="197"/>
      <c r="I368" s="198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>
      <c r="A369" s="239"/>
      <c r="B369" s="240"/>
      <c r="C369" s="240"/>
      <c r="D369" s="240"/>
      <c r="E369" s="240"/>
      <c r="F369" s="240"/>
      <c r="G369" s="240"/>
      <c r="H369" s="197"/>
      <c r="I369" s="198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>
      <c r="A370" s="239"/>
      <c r="B370" s="240"/>
      <c r="C370" s="240"/>
      <c r="D370" s="240"/>
      <c r="E370" s="240"/>
      <c r="F370" s="240"/>
      <c r="G370" s="240"/>
      <c r="H370" s="197"/>
      <c r="I370" s="198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>
      <c r="A371" s="239"/>
      <c r="B371" s="240"/>
      <c r="C371" s="240"/>
      <c r="D371" s="240"/>
      <c r="E371" s="240"/>
      <c r="F371" s="240"/>
      <c r="G371" s="240"/>
      <c r="H371" s="197"/>
      <c r="I371" s="198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>
      <c r="A372" s="239"/>
      <c r="B372" s="240"/>
      <c r="C372" s="240"/>
      <c r="D372" s="240"/>
      <c r="E372" s="240"/>
      <c r="F372" s="240"/>
      <c r="G372" s="240"/>
      <c r="H372" s="197"/>
      <c r="I372" s="198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>
      <c r="A373" s="239"/>
      <c r="B373" s="240"/>
      <c r="C373" s="240"/>
      <c r="D373" s="240"/>
      <c r="E373" s="240"/>
      <c r="F373" s="240"/>
      <c r="G373" s="240"/>
      <c r="H373" s="197"/>
      <c r="I373" s="198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>
      <c r="A374" s="239"/>
      <c r="B374" s="240"/>
      <c r="C374" s="240"/>
      <c r="D374" s="240"/>
      <c r="E374" s="240"/>
      <c r="F374" s="240"/>
      <c r="G374" s="240"/>
      <c r="H374" s="197"/>
      <c r="I374" s="198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>
      <c r="A375" s="239"/>
      <c r="B375" s="240"/>
      <c r="C375" s="240"/>
      <c r="D375" s="240"/>
      <c r="E375" s="240"/>
      <c r="F375" s="240"/>
      <c r="G375" s="240"/>
      <c r="H375" s="197"/>
      <c r="I375" s="198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>
      <c r="A376" s="239"/>
      <c r="B376" s="240"/>
      <c r="C376" s="240"/>
      <c r="D376" s="240"/>
      <c r="E376" s="240"/>
      <c r="F376" s="240"/>
      <c r="G376" s="240"/>
      <c r="H376" s="197"/>
      <c r="I376" s="198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>
      <c r="A377" s="239"/>
      <c r="B377" s="240"/>
      <c r="C377" s="240"/>
      <c r="D377" s="240"/>
      <c r="E377" s="240"/>
      <c r="F377" s="240"/>
      <c r="G377" s="240"/>
      <c r="H377" s="197"/>
      <c r="I377" s="198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>
      <c r="A378" s="239"/>
      <c r="B378" s="240"/>
      <c r="C378" s="240"/>
      <c r="D378" s="240"/>
      <c r="E378" s="240"/>
      <c r="F378" s="240"/>
      <c r="G378" s="240"/>
      <c r="H378" s="197"/>
      <c r="I378" s="198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>
      <c r="A379" s="239"/>
      <c r="B379" s="240"/>
      <c r="C379" s="240"/>
      <c r="D379" s="240"/>
      <c r="E379" s="240"/>
      <c r="F379" s="240"/>
      <c r="G379" s="240"/>
      <c r="H379" s="197"/>
      <c r="I379" s="198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>
      <c r="A380" s="239"/>
      <c r="B380" s="240"/>
      <c r="C380" s="240"/>
      <c r="D380" s="240"/>
      <c r="E380" s="240"/>
      <c r="F380" s="240"/>
      <c r="G380" s="240"/>
      <c r="H380" s="197"/>
      <c r="I380" s="198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>
      <c r="A381" s="239"/>
      <c r="B381" s="240"/>
      <c r="C381" s="240"/>
      <c r="D381" s="240"/>
      <c r="E381" s="240"/>
      <c r="F381" s="240"/>
      <c r="G381" s="240"/>
      <c r="H381" s="197"/>
      <c r="I381" s="198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>
      <c r="A382" s="239"/>
      <c r="B382" s="240"/>
      <c r="C382" s="240"/>
      <c r="D382" s="240"/>
      <c r="E382" s="240"/>
      <c r="F382" s="240"/>
      <c r="G382" s="240"/>
      <c r="H382" s="197"/>
      <c r="I382" s="198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>
      <c r="A383" s="239"/>
      <c r="B383" s="240"/>
      <c r="C383" s="240"/>
      <c r="D383" s="240"/>
      <c r="E383" s="240"/>
      <c r="F383" s="240"/>
      <c r="G383" s="240"/>
      <c r="H383" s="197"/>
      <c r="I383" s="198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>
      <c r="A384" s="239"/>
      <c r="B384" s="240"/>
      <c r="C384" s="240"/>
      <c r="D384" s="240"/>
      <c r="E384" s="240"/>
      <c r="F384" s="240"/>
      <c r="G384" s="240"/>
      <c r="H384" s="197"/>
      <c r="I384" s="198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>
      <c r="A385" s="239"/>
      <c r="B385" s="240"/>
      <c r="C385" s="240"/>
      <c r="D385" s="240"/>
      <c r="E385" s="240"/>
      <c r="F385" s="240"/>
      <c r="G385" s="240"/>
      <c r="H385" s="197"/>
      <c r="I385" s="198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>
      <c r="A386" s="239"/>
      <c r="B386" s="240"/>
      <c r="C386" s="240"/>
      <c r="D386" s="240"/>
      <c r="E386" s="240"/>
      <c r="F386" s="240"/>
      <c r="G386" s="240"/>
      <c r="H386" s="197"/>
      <c r="I386" s="198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>
      <c r="A387" s="239"/>
      <c r="B387" s="240"/>
      <c r="C387" s="240"/>
      <c r="D387" s="240"/>
      <c r="E387" s="240"/>
      <c r="F387" s="240"/>
      <c r="G387" s="240"/>
      <c r="H387" s="197"/>
      <c r="I387" s="198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>
      <c r="A388" s="239"/>
      <c r="B388" s="240"/>
      <c r="C388" s="240"/>
      <c r="D388" s="240"/>
      <c r="E388" s="240"/>
      <c r="F388" s="240"/>
      <c r="G388" s="240"/>
      <c r="H388" s="197"/>
      <c r="I388" s="198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>
      <c r="A389" s="239"/>
      <c r="B389" s="240"/>
      <c r="C389" s="240"/>
      <c r="D389" s="240"/>
      <c r="E389" s="240"/>
      <c r="F389" s="240"/>
      <c r="G389" s="240"/>
      <c r="H389" s="197"/>
      <c r="I389" s="198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>
      <c r="A390" s="239"/>
      <c r="B390" s="240"/>
      <c r="C390" s="240"/>
      <c r="D390" s="240"/>
      <c r="E390" s="240"/>
      <c r="F390" s="240"/>
      <c r="G390" s="240"/>
      <c r="H390" s="197"/>
      <c r="I390" s="198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>
      <c r="A391" s="239"/>
      <c r="B391" s="240"/>
      <c r="C391" s="240"/>
      <c r="D391" s="240"/>
      <c r="E391" s="240"/>
      <c r="F391" s="240"/>
      <c r="G391" s="240"/>
      <c r="H391" s="197"/>
      <c r="I391" s="198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>
      <c r="A392" s="239"/>
      <c r="B392" s="240"/>
      <c r="C392" s="240"/>
      <c r="D392" s="240"/>
      <c r="E392" s="240"/>
      <c r="F392" s="240"/>
      <c r="G392" s="240"/>
      <c r="H392" s="197"/>
      <c r="I392" s="198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>
      <c r="A393" s="239"/>
      <c r="B393" s="240"/>
      <c r="C393" s="240"/>
      <c r="D393" s="240"/>
      <c r="E393" s="240"/>
      <c r="F393" s="240"/>
      <c r="G393" s="240"/>
      <c r="H393" s="197"/>
      <c r="I393" s="198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>
      <c r="A394" s="239"/>
      <c r="B394" s="240"/>
      <c r="C394" s="240"/>
      <c r="D394" s="240"/>
      <c r="E394" s="240"/>
      <c r="F394" s="240"/>
      <c r="G394" s="240"/>
      <c r="H394" s="197"/>
      <c r="I394" s="198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>
      <c r="A395" s="239"/>
      <c r="B395" s="240"/>
      <c r="C395" s="240"/>
      <c r="D395" s="240"/>
      <c r="E395" s="240"/>
      <c r="F395" s="240"/>
      <c r="G395" s="240"/>
      <c r="H395" s="197"/>
      <c r="I395" s="198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>
      <c r="A396" s="239"/>
      <c r="B396" s="240"/>
      <c r="C396" s="240"/>
      <c r="D396" s="240"/>
      <c r="E396" s="240"/>
      <c r="F396" s="240"/>
      <c r="G396" s="240"/>
      <c r="H396" s="197"/>
      <c r="I396" s="198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>
      <c r="A397" s="239"/>
      <c r="B397" s="240"/>
      <c r="C397" s="240"/>
      <c r="D397" s="240"/>
      <c r="E397" s="240"/>
      <c r="F397" s="240"/>
      <c r="G397" s="240"/>
      <c r="H397" s="197"/>
      <c r="I397" s="198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>
      <c r="A398" s="239"/>
      <c r="B398" s="240"/>
      <c r="C398" s="240"/>
      <c r="D398" s="240"/>
      <c r="E398" s="240"/>
      <c r="F398" s="240"/>
      <c r="G398" s="240"/>
      <c r="H398" s="197"/>
      <c r="I398" s="198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>
      <c r="A399" s="239"/>
      <c r="B399" s="240"/>
      <c r="C399" s="240"/>
      <c r="D399" s="240"/>
      <c r="E399" s="240"/>
      <c r="F399" s="240"/>
      <c r="G399" s="240"/>
      <c r="H399" s="197"/>
      <c r="I399" s="198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>
      <c r="A400" s="239"/>
      <c r="B400" s="240"/>
      <c r="C400" s="240"/>
      <c r="D400" s="240"/>
      <c r="E400" s="240"/>
      <c r="F400" s="240"/>
      <c r="G400" s="240"/>
      <c r="H400" s="197"/>
      <c r="I400" s="198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>
      <c r="A401" s="239"/>
      <c r="B401" s="240"/>
      <c r="C401" s="240"/>
      <c r="D401" s="240"/>
      <c r="E401" s="240"/>
      <c r="F401" s="240"/>
      <c r="G401" s="240"/>
      <c r="H401" s="197"/>
      <c r="I401" s="198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>
      <c r="A402" s="239"/>
      <c r="B402" s="240"/>
      <c r="C402" s="240"/>
      <c r="D402" s="240"/>
      <c r="E402" s="240"/>
      <c r="F402" s="240"/>
      <c r="G402" s="240"/>
      <c r="H402" s="197"/>
      <c r="I402" s="198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>
      <c r="A403" s="239"/>
      <c r="B403" s="240"/>
      <c r="C403" s="240"/>
      <c r="D403" s="240"/>
      <c r="E403" s="240"/>
      <c r="F403" s="240"/>
      <c r="G403" s="240"/>
      <c r="H403" s="197"/>
      <c r="I403" s="198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>
      <c r="A404" s="239"/>
      <c r="B404" s="240"/>
      <c r="C404" s="240"/>
      <c r="D404" s="240"/>
      <c r="E404" s="240"/>
      <c r="F404" s="240"/>
      <c r="G404" s="240"/>
      <c r="H404" s="197"/>
      <c r="I404" s="198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>
      <c r="A405" s="239"/>
      <c r="B405" s="240"/>
      <c r="C405" s="240"/>
      <c r="D405" s="240"/>
      <c r="E405" s="240"/>
      <c r="F405" s="240"/>
      <c r="G405" s="240"/>
      <c r="H405" s="197"/>
      <c r="I405" s="198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>
      <c r="A406" s="239"/>
      <c r="B406" s="240"/>
      <c r="C406" s="240"/>
      <c r="D406" s="240"/>
      <c r="E406" s="240"/>
      <c r="F406" s="240"/>
      <c r="G406" s="240"/>
      <c r="H406" s="197"/>
      <c r="I406" s="198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>
      <c r="A407" s="239"/>
      <c r="B407" s="240"/>
      <c r="C407" s="240"/>
      <c r="D407" s="240"/>
      <c r="E407" s="240"/>
      <c r="F407" s="240"/>
      <c r="G407" s="240"/>
      <c r="H407" s="197"/>
      <c r="I407" s="198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>
      <c r="A408" s="239"/>
      <c r="B408" s="240"/>
      <c r="C408" s="240"/>
      <c r="D408" s="240"/>
      <c r="E408" s="240"/>
      <c r="F408" s="240"/>
      <c r="G408" s="240"/>
      <c r="H408" s="197"/>
      <c r="I408" s="198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>
      <c r="A409" s="239"/>
      <c r="B409" s="240"/>
      <c r="C409" s="240"/>
      <c r="D409" s="240"/>
      <c r="E409" s="240"/>
      <c r="F409" s="240"/>
      <c r="G409" s="240"/>
      <c r="H409" s="197"/>
      <c r="I409" s="198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>
      <c r="A410" s="239"/>
      <c r="B410" s="240"/>
      <c r="C410" s="240"/>
      <c r="D410" s="240"/>
      <c r="E410" s="240"/>
      <c r="F410" s="240"/>
      <c r="G410" s="240"/>
      <c r="H410" s="197"/>
      <c r="I410" s="198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>
      <c r="A411" s="239"/>
      <c r="B411" s="240"/>
      <c r="C411" s="240"/>
      <c r="D411" s="240"/>
      <c r="E411" s="240"/>
      <c r="F411" s="240"/>
      <c r="G411" s="240"/>
      <c r="H411" s="197"/>
      <c r="I411" s="198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>
      <c r="A412" s="239"/>
      <c r="B412" s="240"/>
      <c r="C412" s="240"/>
      <c r="D412" s="240"/>
      <c r="E412" s="240"/>
      <c r="F412" s="240"/>
      <c r="G412" s="240"/>
      <c r="H412" s="197"/>
      <c r="I412" s="198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>
      <c r="A413" s="239"/>
      <c r="B413" s="240"/>
      <c r="C413" s="240"/>
      <c r="D413" s="240"/>
      <c r="E413" s="240"/>
      <c r="F413" s="240"/>
      <c r="G413" s="240"/>
      <c r="H413" s="197"/>
      <c r="I413" s="198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>
      <c r="A414" s="239"/>
      <c r="B414" s="240"/>
      <c r="C414" s="240"/>
      <c r="D414" s="240"/>
      <c r="E414" s="240"/>
      <c r="F414" s="240"/>
      <c r="G414" s="240"/>
      <c r="H414" s="197"/>
      <c r="I414" s="198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>
      <c r="A415" s="239"/>
      <c r="B415" s="240"/>
      <c r="C415" s="240"/>
      <c r="D415" s="240"/>
      <c r="E415" s="240"/>
      <c r="F415" s="240"/>
      <c r="G415" s="240"/>
      <c r="H415" s="197"/>
      <c r="I415" s="198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>
      <c r="A416" s="239"/>
      <c r="B416" s="240"/>
      <c r="C416" s="240"/>
      <c r="D416" s="240"/>
      <c r="E416" s="240"/>
      <c r="F416" s="240"/>
      <c r="G416" s="240"/>
      <c r="H416" s="197"/>
      <c r="I416" s="198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>
      <c r="A417" s="239"/>
      <c r="B417" s="240"/>
      <c r="C417" s="240"/>
      <c r="D417" s="240"/>
      <c r="E417" s="240"/>
      <c r="F417" s="240"/>
      <c r="G417" s="240"/>
      <c r="H417" s="197"/>
      <c r="I417" s="198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>
      <c r="A418" s="239"/>
      <c r="B418" s="240"/>
      <c r="C418" s="240"/>
      <c r="D418" s="240"/>
      <c r="E418" s="240"/>
      <c r="F418" s="240"/>
      <c r="G418" s="240"/>
      <c r="H418" s="197"/>
      <c r="I418" s="198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>
      <c r="A419" s="239"/>
      <c r="B419" s="240"/>
      <c r="C419" s="240"/>
      <c r="D419" s="240"/>
      <c r="E419" s="240"/>
      <c r="F419" s="240"/>
      <c r="G419" s="240"/>
      <c r="H419" s="197"/>
      <c r="I419" s="198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>
      <c r="A420" s="239"/>
      <c r="B420" s="240"/>
      <c r="C420" s="240"/>
      <c r="D420" s="240"/>
      <c r="E420" s="240"/>
      <c r="F420" s="240"/>
      <c r="G420" s="240"/>
      <c r="H420" s="197"/>
      <c r="I420" s="198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>
      <c r="A421" s="239"/>
      <c r="B421" s="240"/>
      <c r="C421" s="240"/>
      <c r="D421" s="240"/>
      <c r="E421" s="240"/>
      <c r="F421" s="240"/>
      <c r="G421" s="240"/>
      <c r="H421" s="197"/>
      <c r="I421" s="198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>
      <c r="A422" s="239"/>
      <c r="B422" s="240"/>
      <c r="C422" s="240"/>
      <c r="D422" s="240"/>
      <c r="E422" s="240"/>
      <c r="F422" s="240"/>
      <c r="G422" s="240"/>
      <c r="H422" s="197"/>
      <c r="I422" s="198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>
      <c r="A423" s="239"/>
      <c r="B423" s="240"/>
      <c r="C423" s="240"/>
      <c r="D423" s="240"/>
      <c r="E423" s="240"/>
      <c r="F423" s="240"/>
      <c r="G423" s="240"/>
      <c r="H423" s="197"/>
      <c r="I423" s="198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>
      <c r="A424" s="239"/>
      <c r="B424" s="240"/>
      <c r="C424" s="240"/>
      <c r="D424" s="240"/>
      <c r="E424" s="240"/>
      <c r="F424" s="240"/>
      <c r="G424" s="240"/>
      <c r="H424" s="197"/>
      <c r="I424" s="198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>
      <c r="A425" s="239"/>
      <c r="B425" s="240"/>
      <c r="C425" s="240"/>
      <c r="D425" s="240"/>
      <c r="E425" s="240"/>
      <c r="F425" s="240"/>
      <c r="G425" s="240"/>
      <c r="H425" s="197"/>
      <c r="I425" s="198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>
      <c r="A426" s="239"/>
      <c r="B426" s="240"/>
      <c r="C426" s="240"/>
      <c r="D426" s="240"/>
      <c r="E426" s="240"/>
      <c r="F426" s="240"/>
      <c r="G426" s="240"/>
      <c r="H426" s="197"/>
      <c r="I426" s="198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>
      <c r="A427" s="239"/>
      <c r="B427" s="240"/>
      <c r="C427" s="240"/>
      <c r="D427" s="240"/>
      <c r="E427" s="240"/>
      <c r="F427" s="240"/>
      <c r="G427" s="240"/>
      <c r="H427" s="197"/>
      <c r="I427" s="198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>
      <c r="A428" s="239"/>
      <c r="B428" s="240"/>
      <c r="C428" s="240"/>
      <c r="D428" s="240"/>
      <c r="E428" s="240"/>
      <c r="F428" s="240"/>
      <c r="G428" s="240"/>
      <c r="H428" s="197"/>
      <c r="I428" s="198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>
      <c r="A429" s="239"/>
      <c r="B429" s="240"/>
      <c r="C429" s="240"/>
      <c r="D429" s="240"/>
      <c r="E429" s="240"/>
      <c r="F429" s="240"/>
      <c r="G429" s="240"/>
      <c r="H429" s="197"/>
      <c r="I429" s="198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>
      <c r="A430" s="239"/>
      <c r="B430" s="240"/>
      <c r="C430" s="240"/>
      <c r="D430" s="240"/>
      <c r="E430" s="240"/>
      <c r="F430" s="240"/>
      <c r="G430" s="240"/>
      <c r="H430" s="197"/>
      <c r="I430" s="198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>
      <c r="A431" s="239"/>
      <c r="B431" s="240"/>
      <c r="C431" s="240"/>
      <c r="D431" s="240"/>
      <c r="E431" s="240"/>
      <c r="F431" s="240"/>
      <c r="G431" s="240"/>
      <c r="H431" s="197"/>
      <c r="I431" s="198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>
      <c r="A432" s="239"/>
      <c r="B432" s="240"/>
      <c r="C432" s="240"/>
      <c r="D432" s="240"/>
      <c r="E432" s="240"/>
      <c r="F432" s="240"/>
      <c r="G432" s="240"/>
      <c r="H432" s="197"/>
      <c r="I432" s="198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>
      <c r="A433" s="239"/>
      <c r="B433" s="240"/>
      <c r="C433" s="240"/>
      <c r="D433" s="240"/>
      <c r="E433" s="240"/>
      <c r="F433" s="240"/>
      <c r="G433" s="240"/>
      <c r="H433" s="197"/>
      <c r="I433" s="198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>
      <c r="A434" s="239"/>
      <c r="B434" s="240"/>
      <c r="C434" s="240"/>
      <c r="D434" s="240"/>
      <c r="E434" s="240"/>
      <c r="F434" s="240"/>
      <c r="G434" s="240"/>
      <c r="H434" s="197"/>
      <c r="I434" s="198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>
      <c r="A435" s="239"/>
      <c r="B435" s="240"/>
      <c r="C435" s="240"/>
      <c r="D435" s="240"/>
      <c r="E435" s="240"/>
      <c r="F435" s="240"/>
      <c r="G435" s="240"/>
      <c r="H435" s="197"/>
      <c r="I435" s="198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>
      <c r="A436" s="239"/>
      <c r="B436" s="240"/>
      <c r="C436" s="240"/>
      <c r="D436" s="240"/>
      <c r="E436" s="240"/>
      <c r="F436" s="240"/>
      <c r="G436" s="240"/>
      <c r="H436" s="197"/>
      <c r="I436" s="198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>
      <c r="A437" s="239"/>
      <c r="B437" s="240"/>
      <c r="C437" s="240"/>
      <c r="D437" s="240"/>
      <c r="E437" s="240"/>
      <c r="F437" s="240"/>
      <c r="G437" s="240"/>
      <c r="H437" s="197"/>
      <c r="I437" s="198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>
      <c r="A438" s="239"/>
      <c r="B438" s="240"/>
      <c r="C438" s="240"/>
      <c r="D438" s="240"/>
      <c r="E438" s="240"/>
      <c r="F438" s="240"/>
      <c r="G438" s="240"/>
      <c r="H438" s="197"/>
      <c r="I438" s="198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>
      <c r="A439" s="239"/>
      <c r="B439" s="240"/>
      <c r="C439" s="240"/>
      <c r="D439" s="240"/>
      <c r="E439" s="240"/>
      <c r="F439" s="240"/>
      <c r="G439" s="240"/>
      <c r="H439" s="197"/>
      <c r="I439" s="198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>
      <c r="A440" s="239"/>
      <c r="B440" s="240"/>
      <c r="C440" s="240"/>
      <c r="D440" s="240"/>
      <c r="E440" s="240"/>
      <c r="F440" s="240"/>
      <c r="G440" s="240"/>
      <c r="H440" s="197"/>
      <c r="I440" s="198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>
      <c r="A441" s="239"/>
      <c r="B441" s="240"/>
      <c r="C441" s="240"/>
      <c r="D441" s="240"/>
      <c r="E441" s="240"/>
      <c r="F441" s="240"/>
      <c r="G441" s="240"/>
      <c r="H441" s="197"/>
      <c r="I441" s="198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>
      <c r="A442" s="239"/>
      <c r="B442" s="240"/>
      <c r="C442" s="240"/>
      <c r="D442" s="240"/>
      <c r="E442" s="240"/>
      <c r="F442" s="240"/>
      <c r="G442" s="240"/>
      <c r="H442" s="197"/>
      <c r="I442" s="198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>
      <c r="A443" s="239"/>
      <c r="B443" s="240"/>
      <c r="C443" s="240"/>
      <c r="D443" s="240"/>
      <c r="E443" s="240"/>
      <c r="F443" s="240"/>
      <c r="G443" s="240"/>
      <c r="H443" s="197"/>
      <c r="I443" s="198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>
      <c r="A444" s="239"/>
      <c r="B444" s="240"/>
      <c r="C444" s="240"/>
      <c r="D444" s="240"/>
      <c r="E444" s="240"/>
      <c r="F444" s="240"/>
      <c r="G444" s="240"/>
      <c r="H444" s="197"/>
      <c r="I444" s="198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>
      <c r="A445" s="239"/>
      <c r="B445" s="240"/>
      <c r="C445" s="240"/>
      <c r="D445" s="240"/>
      <c r="E445" s="240"/>
      <c r="F445" s="240"/>
      <c r="G445" s="240"/>
      <c r="H445" s="197"/>
      <c r="I445" s="198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>
      <c r="A446" s="239"/>
      <c r="B446" s="240"/>
      <c r="C446" s="240"/>
      <c r="D446" s="240"/>
      <c r="E446" s="240"/>
      <c r="F446" s="240"/>
      <c r="G446" s="240"/>
      <c r="H446" s="197"/>
      <c r="I446" s="198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>
      <c r="A447" s="239"/>
      <c r="B447" s="240"/>
      <c r="C447" s="240"/>
      <c r="D447" s="240"/>
      <c r="E447" s="240"/>
      <c r="F447" s="240"/>
      <c r="G447" s="240"/>
      <c r="H447" s="197"/>
      <c r="I447" s="198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>
      <c r="A448" s="239"/>
      <c r="B448" s="240"/>
      <c r="C448" s="240"/>
      <c r="D448" s="240"/>
      <c r="E448" s="240"/>
      <c r="F448" s="240"/>
      <c r="G448" s="240"/>
      <c r="H448" s="197"/>
      <c r="I448" s="198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>
      <c r="A449" s="239"/>
      <c r="B449" s="240"/>
      <c r="C449" s="240"/>
      <c r="D449" s="240"/>
      <c r="E449" s="240"/>
      <c r="F449" s="240"/>
      <c r="G449" s="240"/>
      <c r="H449" s="197"/>
      <c r="I449" s="198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>
      <c r="A450" s="239"/>
      <c r="B450" s="240"/>
      <c r="C450" s="240"/>
      <c r="D450" s="240"/>
      <c r="E450" s="240"/>
      <c r="F450" s="240"/>
      <c r="G450" s="240"/>
      <c r="H450" s="197"/>
      <c r="I450" s="198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>
      <c r="A451" s="239"/>
      <c r="B451" s="240"/>
      <c r="C451" s="240"/>
      <c r="D451" s="240"/>
      <c r="E451" s="240"/>
      <c r="F451" s="240"/>
      <c r="G451" s="240"/>
      <c r="H451" s="197"/>
      <c r="I451" s="198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>
      <c r="A452" s="239"/>
      <c r="B452" s="240"/>
      <c r="C452" s="240"/>
      <c r="D452" s="240"/>
      <c r="E452" s="240"/>
      <c r="F452" s="240"/>
      <c r="G452" s="240"/>
      <c r="H452" s="197"/>
      <c r="I452" s="198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>
      <c r="A453" s="239"/>
      <c r="B453" s="240"/>
      <c r="C453" s="240"/>
      <c r="D453" s="240"/>
      <c r="E453" s="240"/>
      <c r="F453" s="240"/>
      <c r="G453" s="240"/>
      <c r="H453" s="197"/>
      <c r="I453" s="198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>
      <c r="A454" s="239"/>
      <c r="B454" s="240"/>
      <c r="C454" s="240"/>
      <c r="D454" s="240"/>
      <c r="E454" s="240"/>
      <c r="F454" s="240"/>
      <c r="G454" s="240"/>
      <c r="H454" s="197"/>
      <c r="I454" s="198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>
      <c r="A455" s="239"/>
      <c r="B455" s="240"/>
      <c r="C455" s="240"/>
      <c r="D455" s="240"/>
      <c r="E455" s="240"/>
      <c r="F455" s="240"/>
      <c r="G455" s="240"/>
      <c r="H455" s="197"/>
      <c r="I455" s="198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>
      <c r="A456" s="239"/>
      <c r="B456" s="240"/>
      <c r="C456" s="240"/>
      <c r="D456" s="240"/>
      <c r="E456" s="240"/>
      <c r="F456" s="240"/>
      <c r="G456" s="240"/>
      <c r="H456" s="197"/>
      <c r="I456" s="198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>
      <c r="A457" s="239"/>
      <c r="B457" s="240"/>
      <c r="C457" s="240"/>
      <c r="D457" s="240"/>
      <c r="E457" s="240"/>
      <c r="F457" s="240"/>
      <c r="G457" s="240"/>
      <c r="H457" s="197"/>
      <c r="I457" s="198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>
      <c r="A458" s="239"/>
      <c r="B458" s="240"/>
      <c r="C458" s="240"/>
      <c r="D458" s="240"/>
      <c r="E458" s="240"/>
      <c r="F458" s="240"/>
      <c r="G458" s="240"/>
      <c r="H458" s="197"/>
      <c r="I458" s="198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>
      <c r="A459" s="239"/>
      <c r="B459" s="240"/>
      <c r="C459" s="240"/>
      <c r="D459" s="240"/>
      <c r="E459" s="240"/>
      <c r="F459" s="240"/>
      <c r="G459" s="240"/>
      <c r="H459" s="197"/>
      <c r="I459" s="198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>
      <c r="A460" s="239"/>
      <c r="B460" s="240"/>
      <c r="C460" s="240"/>
      <c r="D460" s="240"/>
      <c r="E460" s="240"/>
      <c r="F460" s="240"/>
      <c r="G460" s="240"/>
      <c r="H460" s="197"/>
      <c r="I460" s="198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>
      <c r="A461" s="239"/>
      <c r="B461" s="240"/>
      <c r="C461" s="240"/>
      <c r="D461" s="240"/>
      <c r="E461" s="240"/>
      <c r="F461" s="240"/>
      <c r="G461" s="240"/>
      <c r="H461" s="197"/>
      <c r="I461" s="198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>
      <c r="A462" s="239"/>
      <c r="B462" s="240"/>
      <c r="C462" s="240"/>
      <c r="D462" s="240"/>
      <c r="E462" s="240"/>
      <c r="F462" s="240"/>
      <c r="G462" s="240"/>
      <c r="H462" s="197"/>
      <c r="I462" s="198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>
      <c r="A463" s="239"/>
      <c r="B463" s="240"/>
      <c r="C463" s="240"/>
      <c r="D463" s="240"/>
      <c r="E463" s="240"/>
      <c r="F463" s="240"/>
      <c r="G463" s="240"/>
      <c r="H463" s="197"/>
      <c r="I463" s="198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>
      <c r="A464" s="239"/>
      <c r="B464" s="240"/>
      <c r="C464" s="240"/>
      <c r="D464" s="240"/>
      <c r="E464" s="240"/>
      <c r="F464" s="240"/>
      <c r="G464" s="240"/>
      <c r="H464" s="197"/>
      <c r="I464" s="198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>
      <c r="A465" s="239"/>
      <c r="B465" s="240"/>
      <c r="C465" s="240"/>
      <c r="D465" s="240"/>
      <c r="E465" s="240"/>
      <c r="F465" s="240"/>
      <c r="G465" s="240"/>
      <c r="H465" s="197"/>
      <c r="I465" s="198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>
      <c r="A466" s="239"/>
      <c r="B466" s="240"/>
      <c r="C466" s="240"/>
      <c r="D466" s="240"/>
      <c r="E466" s="240"/>
      <c r="F466" s="240"/>
      <c r="G466" s="240"/>
      <c r="H466" s="197"/>
      <c r="I466" s="198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>
      <c r="A467" s="239"/>
      <c r="B467" s="240"/>
      <c r="C467" s="240"/>
      <c r="D467" s="240"/>
      <c r="E467" s="240"/>
      <c r="F467" s="240"/>
      <c r="G467" s="240"/>
      <c r="H467" s="197"/>
      <c r="I467" s="198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>
      <c r="A468" s="239"/>
      <c r="B468" s="240"/>
      <c r="C468" s="240"/>
      <c r="D468" s="240"/>
      <c r="E468" s="240"/>
      <c r="F468" s="240"/>
      <c r="G468" s="240"/>
      <c r="H468" s="197"/>
      <c r="I468" s="198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>
      <c r="A469" s="239"/>
      <c r="B469" s="240"/>
      <c r="C469" s="240"/>
      <c r="D469" s="240"/>
      <c r="E469" s="240"/>
      <c r="F469" s="240"/>
      <c r="G469" s="240"/>
      <c r="H469" s="197"/>
      <c r="I469" s="198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>
      <c r="A470" s="239"/>
      <c r="B470" s="240"/>
      <c r="C470" s="240"/>
      <c r="D470" s="240"/>
      <c r="E470" s="240"/>
      <c r="F470" s="240"/>
      <c r="G470" s="240"/>
      <c r="H470" s="197"/>
      <c r="I470" s="198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>
      <c r="A471" s="239"/>
      <c r="B471" s="240"/>
      <c r="C471" s="240"/>
      <c r="D471" s="240"/>
      <c r="E471" s="240"/>
      <c r="F471" s="240"/>
      <c r="G471" s="240"/>
      <c r="H471" s="197"/>
      <c r="I471" s="198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>
      <c r="A472" s="239"/>
      <c r="B472" s="240"/>
      <c r="C472" s="240"/>
      <c r="D472" s="240"/>
      <c r="E472" s="240"/>
      <c r="F472" s="240"/>
      <c r="G472" s="240"/>
      <c r="H472" s="197"/>
      <c r="I472" s="198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>
      <c r="A473" s="239"/>
      <c r="B473" s="240"/>
      <c r="C473" s="240"/>
      <c r="D473" s="240"/>
      <c r="E473" s="240"/>
      <c r="F473" s="240"/>
      <c r="G473" s="240"/>
      <c r="H473" s="197"/>
      <c r="I473" s="198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>
      <c r="A474" s="239"/>
      <c r="B474" s="240"/>
      <c r="C474" s="240"/>
      <c r="D474" s="240"/>
      <c r="E474" s="240"/>
      <c r="F474" s="240"/>
      <c r="G474" s="240"/>
      <c r="H474" s="197"/>
      <c r="I474" s="198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>
      <c r="A475" s="239"/>
      <c r="B475" s="240"/>
      <c r="C475" s="240"/>
      <c r="D475" s="240"/>
      <c r="E475" s="240"/>
      <c r="F475" s="240"/>
      <c r="G475" s="240"/>
      <c r="H475" s="197"/>
      <c r="I475" s="198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>
      <c r="A476" s="239"/>
      <c r="B476" s="240"/>
      <c r="C476" s="240"/>
      <c r="D476" s="240"/>
      <c r="E476" s="240"/>
      <c r="F476" s="240"/>
      <c r="G476" s="240"/>
      <c r="H476" s="197"/>
      <c r="I476" s="198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>
      <c r="A477" s="239"/>
      <c r="B477" s="240"/>
      <c r="C477" s="240"/>
      <c r="D477" s="240"/>
      <c r="E477" s="240"/>
      <c r="F477" s="240"/>
      <c r="G477" s="240"/>
      <c r="H477" s="197"/>
      <c r="I477" s="198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>
      <c r="A478" s="239"/>
      <c r="B478" s="240"/>
      <c r="C478" s="240"/>
      <c r="D478" s="240"/>
      <c r="E478" s="240"/>
      <c r="F478" s="240"/>
      <c r="G478" s="240"/>
      <c r="H478" s="197"/>
      <c r="I478" s="198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>
      <c r="A479" s="239"/>
      <c r="B479" s="240"/>
      <c r="C479" s="240"/>
      <c r="D479" s="240"/>
      <c r="E479" s="240"/>
      <c r="F479" s="240"/>
      <c r="G479" s="240"/>
      <c r="H479" s="197"/>
      <c r="I479" s="198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>
      <c r="A480" s="239"/>
      <c r="B480" s="240"/>
      <c r="C480" s="240"/>
      <c r="D480" s="240"/>
      <c r="E480" s="240"/>
      <c r="F480" s="240"/>
      <c r="G480" s="240"/>
      <c r="H480" s="197"/>
      <c r="I480" s="198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>
      <c r="A481" s="239"/>
      <c r="B481" s="240"/>
      <c r="C481" s="240"/>
      <c r="D481" s="240"/>
      <c r="E481" s="240"/>
      <c r="F481" s="240"/>
      <c r="G481" s="240"/>
      <c r="H481" s="197"/>
      <c r="I481" s="198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>
      <c r="A482" s="239"/>
      <c r="B482" s="240"/>
      <c r="C482" s="240"/>
      <c r="D482" s="240"/>
      <c r="E482" s="240"/>
      <c r="F482" s="240"/>
      <c r="G482" s="240"/>
      <c r="H482" s="197"/>
      <c r="I482" s="198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>
      <c r="A483" s="239"/>
      <c r="B483" s="240"/>
      <c r="C483" s="240"/>
      <c r="D483" s="240"/>
      <c r="E483" s="240"/>
      <c r="F483" s="240"/>
      <c r="G483" s="240"/>
      <c r="H483" s="197"/>
      <c r="I483" s="198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>
      <c r="A484" s="239"/>
      <c r="B484" s="240"/>
      <c r="C484" s="240"/>
      <c r="D484" s="240"/>
      <c r="E484" s="240"/>
      <c r="F484" s="240"/>
      <c r="G484" s="240"/>
      <c r="H484" s="197"/>
      <c r="I484" s="198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>
      <c r="A485" s="239"/>
      <c r="B485" s="240"/>
      <c r="C485" s="240"/>
      <c r="D485" s="240"/>
      <c r="E485" s="240"/>
      <c r="F485" s="240"/>
      <c r="G485" s="240"/>
      <c r="H485" s="197"/>
      <c r="I485" s="198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>
      <c r="A486" s="239"/>
      <c r="B486" s="240"/>
      <c r="C486" s="240"/>
      <c r="D486" s="240"/>
      <c r="E486" s="240"/>
      <c r="F486" s="240"/>
      <c r="G486" s="240"/>
      <c r="H486" s="197"/>
      <c r="I486" s="198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>
      <c r="A487" s="239"/>
      <c r="B487" s="240"/>
      <c r="C487" s="240"/>
      <c r="D487" s="240"/>
      <c r="E487" s="240"/>
      <c r="F487" s="240"/>
      <c r="G487" s="240"/>
      <c r="H487" s="197"/>
      <c r="I487" s="198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>
      <c r="A488" s="239"/>
      <c r="B488" s="240"/>
      <c r="C488" s="240"/>
      <c r="D488" s="240"/>
      <c r="E488" s="240"/>
      <c r="F488" s="240"/>
      <c r="G488" s="240"/>
      <c r="H488" s="197"/>
      <c r="I488" s="198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>
      <c r="A489" s="239"/>
      <c r="B489" s="240"/>
      <c r="C489" s="240"/>
      <c r="D489" s="240"/>
      <c r="E489" s="240"/>
      <c r="F489" s="240"/>
      <c r="G489" s="240"/>
      <c r="H489" s="197"/>
      <c r="I489" s="198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>
      <c r="A490" s="239"/>
      <c r="B490" s="240"/>
      <c r="C490" s="240"/>
      <c r="D490" s="240"/>
      <c r="E490" s="240"/>
      <c r="F490" s="240"/>
      <c r="G490" s="240"/>
      <c r="H490" s="197"/>
      <c r="I490" s="198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>
      <c r="A491" s="239"/>
      <c r="B491" s="240"/>
      <c r="C491" s="240"/>
      <c r="D491" s="240"/>
      <c r="E491" s="240"/>
      <c r="F491" s="240"/>
      <c r="G491" s="240"/>
      <c r="H491" s="197"/>
      <c r="I491" s="198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>
      <c r="A492" s="239"/>
      <c r="B492" s="240"/>
      <c r="C492" s="240"/>
      <c r="D492" s="240"/>
      <c r="E492" s="240"/>
      <c r="F492" s="240"/>
      <c r="G492" s="240"/>
      <c r="H492" s="197"/>
      <c r="I492" s="198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>
      <c r="A493" s="239"/>
      <c r="B493" s="240"/>
      <c r="C493" s="240"/>
      <c r="D493" s="240"/>
      <c r="E493" s="240"/>
      <c r="F493" s="240"/>
      <c r="G493" s="240"/>
      <c r="H493" s="197"/>
      <c r="I493" s="198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>
      <c r="A494" s="239"/>
      <c r="B494" s="240"/>
      <c r="C494" s="240"/>
      <c r="D494" s="240"/>
      <c r="E494" s="240"/>
      <c r="F494" s="240"/>
      <c r="G494" s="240"/>
      <c r="H494" s="197"/>
      <c r="I494" s="198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>
      <c r="A495" s="239"/>
      <c r="B495" s="240"/>
      <c r="C495" s="240"/>
      <c r="D495" s="240"/>
      <c r="E495" s="240"/>
      <c r="F495" s="240"/>
      <c r="G495" s="240"/>
      <c r="H495" s="197"/>
      <c r="I495" s="198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>
      <c r="A496" s="239"/>
      <c r="B496" s="240"/>
      <c r="C496" s="240"/>
      <c r="D496" s="240"/>
      <c r="E496" s="240"/>
      <c r="F496" s="240"/>
      <c r="G496" s="240"/>
      <c r="H496" s="197"/>
      <c r="I496" s="198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>
      <c r="A497" s="239"/>
      <c r="B497" s="240"/>
      <c r="C497" s="240"/>
      <c r="D497" s="240"/>
      <c r="E497" s="240"/>
      <c r="F497" s="240"/>
      <c r="G497" s="240"/>
      <c r="H497" s="197"/>
      <c r="I497" s="198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>
      <c r="A498" s="239"/>
      <c r="B498" s="240"/>
      <c r="C498" s="240"/>
      <c r="D498" s="240"/>
      <c r="E498" s="240"/>
      <c r="F498" s="240"/>
      <c r="G498" s="240"/>
      <c r="H498" s="197"/>
      <c r="I498" s="198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>
      <c r="A499" s="239"/>
      <c r="B499" s="240"/>
      <c r="C499" s="240"/>
      <c r="D499" s="240"/>
      <c r="E499" s="240"/>
      <c r="F499" s="240"/>
      <c r="G499" s="240"/>
      <c r="H499" s="197"/>
      <c r="I499" s="198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>
      <c r="A500" s="239"/>
      <c r="B500" s="240"/>
      <c r="C500" s="240"/>
      <c r="D500" s="240"/>
      <c r="E500" s="240"/>
      <c r="F500" s="240"/>
      <c r="G500" s="240"/>
      <c r="H500" s="197"/>
      <c r="I500" s="198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>
      <c r="A501" s="239"/>
      <c r="B501" s="240"/>
      <c r="C501" s="240"/>
      <c r="D501" s="240"/>
      <c r="E501" s="240"/>
      <c r="F501" s="240"/>
      <c r="G501" s="240"/>
      <c r="H501" s="197"/>
      <c r="I501" s="198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>
      <c r="A502" s="239"/>
      <c r="B502" s="240"/>
      <c r="C502" s="240"/>
      <c r="D502" s="240"/>
      <c r="E502" s="240"/>
      <c r="F502" s="240"/>
      <c r="G502" s="240"/>
      <c r="H502" s="197"/>
      <c r="I502" s="198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>
      <c r="A503" s="239"/>
      <c r="B503" s="240"/>
      <c r="C503" s="240"/>
      <c r="D503" s="240"/>
      <c r="E503" s="240"/>
      <c r="F503" s="240"/>
      <c r="G503" s="240"/>
      <c r="H503" s="197"/>
      <c r="I503" s="198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>
      <c r="A504" s="239"/>
      <c r="B504" s="240"/>
      <c r="C504" s="240"/>
      <c r="D504" s="240"/>
      <c r="E504" s="240"/>
      <c r="F504" s="240"/>
      <c r="G504" s="240"/>
      <c r="H504" s="197"/>
      <c r="I504" s="198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>
      <c r="A505" s="239"/>
      <c r="B505" s="240"/>
      <c r="C505" s="240"/>
      <c r="D505" s="240"/>
      <c r="E505" s="240"/>
      <c r="F505" s="240"/>
      <c r="G505" s="240"/>
      <c r="H505" s="197"/>
      <c r="I505" s="198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>
      <c r="A506" s="239"/>
      <c r="B506" s="240"/>
      <c r="C506" s="240"/>
      <c r="D506" s="240"/>
      <c r="E506" s="240"/>
      <c r="F506" s="240"/>
      <c r="G506" s="240"/>
      <c r="H506" s="197"/>
      <c r="I506" s="198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>
      <c r="A507" s="239"/>
      <c r="B507" s="240"/>
      <c r="C507" s="240"/>
      <c r="D507" s="240"/>
      <c r="E507" s="240"/>
      <c r="F507" s="240"/>
      <c r="G507" s="240"/>
      <c r="H507" s="197"/>
      <c r="I507" s="198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>
      <c r="A508" s="239"/>
      <c r="B508" s="240"/>
      <c r="C508" s="240"/>
      <c r="D508" s="240"/>
      <c r="E508" s="240"/>
      <c r="F508" s="240"/>
      <c r="G508" s="240"/>
      <c r="H508" s="197"/>
      <c r="I508" s="198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>
      <c r="A509" s="239"/>
      <c r="B509" s="240"/>
      <c r="C509" s="240"/>
      <c r="D509" s="240"/>
      <c r="E509" s="240"/>
      <c r="F509" s="240"/>
      <c r="G509" s="240"/>
      <c r="H509" s="197"/>
      <c r="I509" s="198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>
      <c r="A510" s="239"/>
      <c r="B510" s="240"/>
      <c r="C510" s="240"/>
      <c r="D510" s="240"/>
      <c r="E510" s="240"/>
      <c r="F510" s="240"/>
      <c r="G510" s="240"/>
      <c r="H510" s="197"/>
      <c r="I510" s="198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>
      <c r="A511" s="239"/>
      <c r="B511" s="240"/>
      <c r="C511" s="240"/>
      <c r="D511" s="240"/>
      <c r="E511" s="240"/>
      <c r="F511" s="240"/>
      <c r="G511" s="240"/>
      <c r="H511" s="197"/>
      <c r="I511" s="198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>
      <c r="A512" s="239"/>
      <c r="B512" s="240"/>
      <c r="C512" s="240"/>
      <c r="D512" s="240"/>
      <c r="E512" s="240"/>
      <c r="F512" s="240"/>
      <c r="G512" s="240"/>
      <c r="H512" s="197"/>
      <c r="I512" s="198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>
      <c r="A513" s="239"/>
      <c r="B513" s="240"/>
      <c r="C513" s="240"/>
      <c r="D513" s="240"/>
      <c r="E513" s="240"/>
      <c r="F513" s="240"/>
      <c r="G513" s="240"/>
      <c r="H513" s="197"/>
      <c r="I513" s="198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>
      <c r="A514" s="239"/>
      <c r="B514" s="240"/>
      <c r="C514" s="240"/>
      <c r="D514" s="240"/>
      <c r="E514" s="240"/>
      <c r="F514" s="240"/>
      <c r="G514" s="240"/>
      <c r="H514" s="197"/>
      <c r="I514" s="198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>
      <c r="A515" s="239"/>
      <c r="B515" s="240"/>
      <c r="C515" s="240"/>
      <c r="D515" s="240"/>
      <c r="E515" s="240"/>
      <c r="F515" s="240"/>
      <c r="G515" s="240"/>
      <c r="H515" s="197"/>
      <c r="I515" s="198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>
      <c r="A516" s="239"/>
      <c r="B516" s="240"/>
      <c r="C516" s="240"/>
      <c r="D516" s="240"/>
      <c r="E516" s="240"/>
      <c r="F516" s="240"/>
      <c r="G516" s="240"/>
      <c r="H516" s="197"/>
      <c r="I516" s="198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>
      <c r="A517" s="239"/>
      <c r="B517" s="240"/>
      <c r="C517" s="240"/>
      <c r="D517" s="240"/>
      <c r="E517" s="240"/>
      <c r="F517" s="240"/>
      <c r="G517" s="240"/>
      <c r="H517" s="197"/>
      <c r="I517" s="198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>
      <c r="A518" s="239"/>
      <c r="B518" s="240"/>
      <c r="C518" s="240"/>
      <c r="D518" s="240"/>
      <c r="E518" s="240"/>
      <c r="F518" s="240"/>
      <c r="G518" s="240"/>
      <c r="H518" s="197"/>
      <c r="I518" s="198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>
      <c r="A519" s="239"/>
      <c r="B519" s="240"/>
      <c r="C519" s="240"/>
      <c r="D519" s="240"/>
      <c r="E519" s="240"/>
      <c r="F519" s="240"/>
      <c r="G519" s="240"/>
      <c r="H519" s="197"/>
      <c r="I519" s="198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>
      <c r="A520" s="239"/>
      <c r="B520" s="240"/>
      <c r="C520" s="240"/>
      <c r="D520" s="240"/>
      <c r="E520" s="240"/>
      <c r="F520" s="240"/>
      <c r="G520" s="240"/>
      <c r="H520" s="197"/>
      <c r="I520" s="198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>
      <c r="A521" s="239"/>
      <c r="B521" s="240"/>
      <c r="C521" s="240"/>
      <c r="D521" s="240"/>
      <c r="E521" s="240"/>
      <c r="F521" s="240"/>
      <c r="G521" s="240"/>
      <c r="H521" s="197"/>
      <c r="I521" s="198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>
      <c r="A522" s="239"/>
      <c r="B522" s="240"/>
      <c r="C522" s="240"/>
      <c r="D522" s="240"/>
      <c r="E522" s="240"/>
      <c r="F522" s="240"/>
      <c r="G522" s="240"/>
      <c r="H522" s="197"/>
      <c r="I522" s="198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>
      <c r="A523" s="239"/>
      <c r="B523" s="240"/>
      <c r="C523" s="240"/>
      <c r="D523" s="240"/>
      <c r="E523" s="240"/>
      <c r="F523" s="240"/>
      <c r="G523" s="240"/>
      <c r="H523" s="197"/>
      <c r="I523" s="198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>
      <c r="A524" s="239"/>
      <c r="B524" s="240"/>
      <c r="C524" s="240"/>
      <c r="D524" s="240"/>
      <c r="E524" s="240"/>
      <c r="F524" s="240"/>
      <c r="G524" s="240"/>
      <c r="H524" s="197"/>
      <c r="I524" s="198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>
      <c r="A525" s="239"/>
      <c r="B525" s="240"/>
      <c r="C525" s="240"/>
      <c r="D525" s="240"/>
      <c r="E525" s="240"/>
      <c r="F525" s="240"/>
      <c r="G525" s="240"/>
      <c r="H525" s="197"/>
      <c r="I525" s="198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>
      <c r="A526" s="239"/>
      <c r="B526" s="240"/>
      <c r="C526" s="240"/>
      <c r="D526" s="240"/>
      <c r="E526" s="240"/>
      <c r="F526" s="240"/>
      <c r="G526" s="240"/>
      <c r="H526" s="197"/>
      <c r="I526" s="198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>
      <c r="A527" s="239"/>
      <c r="B527" s="240"/>
      <c r="C527" s="240"/>
      <c r="D527" s="240"/>
      <c r="E527" s="240"/>
      <c r="F527" s="240"/>
      <c r="G527" s="240"/>
      <c r="H527" s="197"/>
      <c r="I527" s="198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>
      <c r="A528" s="239"/>
      <c r="B528" s="240"/>
      <c r="C528" s="240"/>
      <c r="D528" s="240"/>
      <c r="E528" s="240"/>
      <c r="F528" s="240"/>
      <c r="G528" s="240"/>
      <c r="H528" s="197"/>
      <c r="I528" s="198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>
      <c r="A529" s="239"/>
      <c r="B529" s="240"/>
      <c r="C529" s="240"/>
      <c r="D529" s="240"/>
      <c r="E529" s="240"/>
      <c r="F529" s="240"/>
      <c r="G529" s="240"/>
      <c r="H529" s="197"/>
      <c r="I529" s="198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>
      <c r="A530" s="239"/>
      <c r="B530" s="240"/>
      <c r="C530" s="240"/>
      <c r="D530" s="240"/>
      <c r="E530" s="240"/>
      <c r="F530" s="240"/>
      <c r="G530" s="240"/>
      <c r="H530" s="197"/>
      <c r="I530" s="198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>
      <c r="A531" s="239"/>
      <c r="B531" s="240"/>
      <c r="C531" s="240"/>
      <c r="D531" s="240"/>
      <c r="E531" s="240"/>
      <c r="F531" s="240"/>
      <c r="G531" s="240"/>
      <c r="H531" s="197"/>
      <c r="I531" s="198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>
      <c r="A532" s="239"/>
      <c r="B532" s="240"/>
      <c r="C532" s="240"/>
      <c r="D532" s="240"/>
      <c r="E532" s="240"/>
      <c r="F532" s="240"/>
      <c r="G532" s="240"/>
      <c r="H532" s="197"/>
      <c r="I532" s="198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>
      <c r="A533" s="239"/>
      <c r="B533" s="240"/>
      <c r="C533" s="240"/>
      <c r="D533" s="240"/>
      <c r="E533" s="240"/>
      <c r="F533" s="240"/>
      <c r="G533" s="240"/>
      <c r="H533" s="197"/>
      <c r="I533" s="198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>
      <c r="A534" s="239"/>
      <c r="B534" s="240"/>
      <c r="C534" s="240"/>
      <c r="D534" s="240"/>
      <c r="E534" s="240"/>
      <c r="F534" s="240"/>
      <c r="G534" s="240"/>
      <c r="H534" s="197"/>
      <c r="I534" s="198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>
      <c r="A535" s="239"/>
      <c r="B535" s="240"/>
      <c r="C535" s="240"/>
      <c r="D535" s="240"/>
      <c r="E535" s="240"/>
      <c r="F535" s="240"/>
      <c r="G535" s="240"/>
      <c r="H535" s="197"/>
      <c r="I535" s="198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>
      <c r="A536" s="239"/>
      <c r="B536" s="240"/>
      <c r="C536" s="240"/>
      <c r="D536" s="240"/>
      <c r="E536" s="240"/>
      <c r="F536" s="240"/>
      <c r="G536" s="240"/>
      <c r="H536" s="197"/>
      <c r="I536" s="198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>
      <c r="A537" s="239"/>
      <c r="B537" s="240"/>
      <c r="C537" s="240"/>
      <c r="D537" s="240"/>
      <c r="E537" s="240"/>
      <c r="F537" s="240"/>
      <c r="G537" s="240"/>
      <c r="H537" s="197"/>
      <c r="I537" s="198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>
      <c r="A538" s="239"/>
      <c r="B538" s="240"/>
      <c r="C538" s="240"/>
      <c r="D538" s="240"/>
      <c r="E538" s="240"/>
      <c r="F538" s="240"/>
      <c r="G538" s="240"/>
      <c r="H538" s="197"/>
      <c r="I538" s="198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>
      <c r="A539" s="239"/>
      <c r="B539" s="240"/>
      <c r="C539" s="240"/>
      <c r="D539" s="240"/>
      <c r="E539" s="240"/>
      <c r="F539" s="240"/>
      <c r="G539" s="240"/>
      <c r="H539" s="197"/>
      <c r="I539" s="198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>
      <c r="A540" s="239"/>
      <c r="B540" s="240"/>
      <c r="C540" s="240"/>
      <c r="D540" s="240"/>
      <c r="E540" s="240"/>
      <c r="F540" s="240"/>
      <c r="G540" s="240"/>
      <c r="H540" s="197"/>
      <c r="I540" s="198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>
      <c r="A541" s="239"/>
      <c r="B541" s="240"/>
      <c r="C541" s="240"/>
      <c r="D541" s="240"/>
      <c r="E541" s="240"/>
      <c r="F541" s="240"/>
      <c r="G541" s="240"/>
      <c r="H541" s="197"/>
      <c r="I541" s="198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>
      <c r="A542" s="239"/>
      <c r="B542" s="240"/>
      <c r="C542" s="240"/>
      <c r="D542" s="240"/>
      <c r="E542" s="240"/>
      <c r="F542" s="240"/>
      <c r="G542" s="240"/>
      <c r="H542" s="197"/>
      <c r="I542" s="198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>
      <c r="A543" s="239"/>
      <c r="B543" s="240"/>
      <c r="C543" s="240"/>
      <c r="D543" s="240"/>
      <c r="E543" s="240"/>
      <c r="F543" s="240"/>
      <c r="G543" s="240"/>
      <c r="H543" s="197"/>
      <c r="I543" s="198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>
      <c r="A544" s="239"/>
      <c r="B544" s="240"/>
      <c r="C544" s="240"/>
      <c r="D544" s="240"/>
      <c r="E544" s="240"/>
      <c r="F544" s="240"/>
      <c r="G544" s="240"/>
      <c r="H544" s="197"/>
      <c r="I544" s="198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>
      <c r="A545" s="239"/>
      <c r="B545" s="240"/>
      <c r="C545" s="240"/>
      <c r="D545" s="240"/>
      <c r="E545" s="240"/>
      <c r="F545" s="240"/>
      <c r="G545" s="240"/>
      <c r="H545" s="197"/>
      <c r="I545" s="198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>
      <c r="A546" s="239"/>
      <c r="B546" s="240"/>
      <c r="C546" s="240"/>
      <c r="D546" s="240"/>
      <c r="E546" s="240"/>
      <c r="F546" s="240"/>
      <c r="G546" s="240"/>
      <c r="H546" s="197"/>
      <c r="I546" s="198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>
      <c r="A547" s="239"/>
      <c r="B547" s="240"/>
      <c r="C547" s="240"/>
      <c r="D547" s="240"/>
      <c r="E547" s="240"/>
      <c r="F547" s="240"/>
      <c r="G547" s="240"/>
      <c r="H547" s="197"/>
      <c r="I547" s="198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>
      <c r="A548" s="239"/>
      <c r="B548" s="240"/>
      <c r="C548" s="240"/>
      <c r="D548" s="240"/>
      <c r="E548" s="240"/>
      <c r="F548" s="240"/>
      <c r="G548" s="240"/>
      <c r="H548" s="197"/>
      <c r="I548" s="198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>
      <c r="A549" s="239"/>
      <c r="B549" s="240"/>
      <c r="C549" s="240"/>
      <c r="D549" s="240"/>
      <c r="E549" s="240"/>
      <c r="F549" s="240"/>
      <c r="G549" s="240"/>
      <c r="H549" s="197"/>
      <c r="I549" s="198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>
      <c r="A550" s="239"/>
      <c r="B550" s="240"/>
      <c r="C550" s="240"/>
      <c r="D550" s="240"/>
      <c r="E550" s="240"/>
      <c r="F550" s="240"/>
      <c r="G550" s="240"/>
      <c r="H550" s="197"/>
      <c r="I550" s="198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>
      <c r="A551" s="239"/>
      <c r="B551" s="240"/>
      <c r="C551" s="240"/>
      <c r="D551" s="240"/>
      <c r="E551" s="240"/>
      <c r="F551" s="240"/>
      <c r="G551" s="240"/>
      <c r="H551" s="197"/>
      <c r="I551" s="198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>
      <c r="A552" s="239"/>
      <c r="B552" s="240"/>
      <c r="C552" s="240"/>
      <c r="D552" s="240"/>
      <c r="E552" s="240"/>
      <c r="F552" s="240"/>
      <c r="G552" s="240"/>
      <c r="H552" s="197"/>
      <c r="I552" s="198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>
      <c r="A553" s="239"/>
      <c r="B553" s="240"/>
      <c r="C553" s="240"/>
      <c r="D553" s="240"/>
      <c r="E553" s="240"/>
      <c r="F553" s="240"/>
      <c r="G553" s="240"/>
      <c r="H553" s="197"/>
      <c r="I553" s="198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>
      <c r="A554" s="239"/>
      <c r="B554" s="240"/>
      <c r="C554" s="240"/>
      <c r="D554" s="240"/>
      <c r="E554" s="240"/>
      <c r="F554" s="240"/>
      <c r="G554" s="240"/>
      <c r="H554" s="197"/>
      <c r="I554" s="198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>
      <c r="A555" s="239"/>
      <c r="B555" s="240"/>
      <c r="C555" s="240"/>
      <c r="D555" s="240"/>
      <c r="E555" s="240"/>
      <c r="F555" s="240"/>
      <c r="G555" s="240"/>
      <c r="H555" s="197"/>
      <c r="I555" s="198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>
      <c r="A556" s="239"/>
      <c r="B556" s="240"/>
      <c r="C556" s="240"/>
      <c r="D556" s="240"/>
      <c r="E556" s="240"/>
      <c r="F556" s="240"/>
      <c r="G556" s="240"/>
      <c r="H556" s="197"/>
      <c r="I556" s="198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>
      <c r="A557" s="239"/>
      <c r="B557" s="240"/>
      <c r="C557" s="240"/>
      <c r="D557" s="240"/>
      <c r="E557" s="240"/>
      <c r="F557" s="240"/>
      <c r="G557" s="240"/>
      <c r="H557" s="197"/>
      <c r="I557" s="198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>
      <c r="A558" s="239"/>
      <c r="B558" s="240"/>
      <c r="C558" s="240"/>
      <c r="D558" s="240"/>
      <c r="E558" s="240"/>
      <c r="F558" s="240"/>
      <c r="G558" s="240"/>
      <c r="H558" s="197"/>
      <c r="I558" s="198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>
      <c r="A559" s="239"/>
      <c r="B559" s="240"/>
      <c r="C559" s="240"/>
      <c r="D559" s="240"/>
      <c r="E559" s="240"/>
      <c r="F559" s="240"/>
      <c r="G559" s="240"/>
      <c r="H559" s="197"/>
      <c r="I559" s="198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>
      <c r="A560" s="239"/>
      <c r="B560" s="240"/>
      <c r="C560" s="240"/>
      <c r="D560" s="240"/>
      <c r="E560" s="240"/>
      <c r="F560" s="240"/>
      <c r="G560" s="240"/>
      <c r="H560" s="197"/>
      <c r="I560" s="198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>
      <c r="A561" s="239"/>
      <c r="B561" s="240"/>
      <c r="C561" s="240"/>
      <c r="D561" s="240"/>
      <c r="E561" s="240"/>
      <c r="F561" s="240"/>
      <c r="G561" s="240"/>
      <c r="H561" s="197"/>
      <c r="I561" s="198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>
      <c r="A562" s="239"/>
      <c r="B562" s="240"/>
      <c r="C562" s="240"/>
      <c r="D562" s="240"/>
      <c r="E562" s="240"/>
      <c r="F562" s="240"/>
      <c r="G562" s="240"/>
      <c r="H562" s="197"/>
      <c r="I562" s="198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>
      <c r="A563" s="239"/>
      <c r="B563" s="240"/>
      <c r="C563" s="240"/>
      <c r="D563" s="240"/>
      <c r="E563" s="240"/>
      <c r="F563" s="240"/>
      <c r="G563" s="240"/>
      <c r="H563" s="197"/>
      <c r="I563" s="198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>
      <c r="A564" s="239"/>
      <c r="B564" s="240"/>
      <c r="C564" s="240"/>
      <c r="D564" s="240"/>
      <c r="E564" s="240"/>
      <c r="F564" s="240"/>
      <c r="G564" s="240"/>
      <c r="H564" s="197"/>
      <c r="I564" s="198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>
      <c r="A565" s="239"/>
      <c r="B565" s="240"/>
      <c r="C565" s="240"/>
      <c r="D565" s="240"/>
      <c r="E565" s="240"/>
      <c r="F565" s="240"/>
      <c r="G565" s="240"/>
      <c r="H565" s="197"/>
      <c r="I565" s="198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>
      <c r="A566" s="239"/>
      <c r="B566" s="240"/>
      <c r="C566" s="240"/>
      <c r="D566" s="240"/>
      <c r="E566" s="240"/>
      <c r="F566" s="240"/>
      <c r="G566" s="240"/>
      <c r="H566" s="197"/>
      <c r="I566" s="198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>
      <c r="A567" s="239"/>
      <c r="B567" s="240"/>
      <c r="C567" s="240"/>
      <c r="D567" s="240"/>
      <c r="E567" s="240"/>
      <c r="F567" s="240"/>
      <c r="G567" s="240"/>
      <c r="H567" s="197"/>
      <c r="I567" s="198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>
      <c r="A568" s="239"/>
      <c r="B568" s="240"/>
      <c r="C568" s="240"/>
      <c r="D568" s="240"/>
      <c r="E568" s="240"/>
      <c r="F568" s="240"/>
      <c r="G568" s="240"/>
      <c r="H568" s="197"/>
      <c r="I568" s="198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>
      <c r="A569" s="239"/>
      <c r="B569" s="240"/>
      <c r="C569" s="240"/>
      <c r="D569" s="240"/>
      <c r="E569" s="240"/>
      <c r="F569" s="240"/>
      <c r="G569" s="240"/>
      <c r="H569" s="197"/>
      <c r="I569" s="198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>
      <c r="A570" s="239"/>
      <c r="B570" s="240"/>
      <c r="C570" s="240"/>
      <c r="D570" s="240"/>
      <c r="E570" s="240"/>
      <c r="F570" s="240"/>
      <c r="G570" s="240"/>
      <c r="H570" s="197"/>
      <c r="I570" s="198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>
      <c r="A571" s="239"/>
      <c r="B571" s="240"/>
      <c r="C571" s="240"/>
      <c r="D571" s="240"/>
      <c r="E571" s="240"/>
      <c r="F571" s="240"/>
      <c r="G571" s="240"/>
      <c r="H571" s="197"/>
      <c r="I571" s="198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>
      <c r="A572" s="239"/>
      <c r="B572" s="240"/>
      <c r="C572" s="240"/>
      <c r="D572" s="240"/>
      <c r="E572" s="240"/>
      <c r="F572" s="240"/>
      <c r="G572" s="240"/>
      <c r="H572" s="197"/>
      <c r="I572" s="198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>
      <c r="A573" s="239"/>
      <c r="B573" s="240"/>
      <c r="C573" s="240"/>
      <c r="D573" s="240"/>
      <c r="E573" s="240"/>
      <c r="F573" s="240"/>
      <c r="G573" s="240"/>
      <c r="H573" s="197"/>
      <c r="I573" s="198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>
      <c r="A574" s="239"/>
      <c r="B574" s="240"/>
      <c r="C574" s="240"/>
      <c r="D574" s="240"/>
      <c r="E574" s="240"/>
      <c r="F574" s="240"/>
      <c r="G574" s="240"/>
      <c r="H574" s="197"/>
      <c r="I574" s="198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>
      <c r="A575" s="239"/>
      <c r="B575" s="240"/>
      <c r="C575" s="240"/>
      <c r="D575" s="240"/>
      <c r="E575" s="240"/>
      <c r="F575" s="240"/>
      <c r="G575" s="240"/>
      <c r="H575" s="197"/>
      <c r="I575" s="198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>
      <c r="A576" s="239"/>
      <c r="B576" s="240"/>
      <c r="C576" s="240"/>
      <c r="D576" s="240"/>
      <c r="E576" s="240"/>
      <c r="F576" s="240"/>
      <c r="G576" s="240"/>
      <c r="H576" s="197"/>
      <c r="I576" s="198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>
      <c r="A577" s="239"/>
      <c r="B577" s="240"/>
      <c r="C577" s="240"/>
      <c r="D577" s="240"/>
      <c r="E577" s="240"/>
      <c r="F577" s="240"/>
      <c r="G577" s="240"/>
      <c r="H577" s="197"/>
      <c r="I577" s="198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>
      <c r="A578" s="239"/>
      <c r="B578" s="240"/>
      <c r="C578" s="240"/>
      <c r="D578" s="240"/>
      <c r="E578" s="240"/>
      <c r="F578" s="240"/>
      <c r="G578" s="240"/>
      <c r="H578" s="197"/>
      <c r="I578" s="198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>
      <c r="A579" s="239"/>
      <c r="B579" s="240"/>
      <c r="C579" s="240"/>
      <c r="D579" s="240"/>
      <c r="E579" s="240"/>
      <c r="F579" s="240"/>
      <c r="G579" s="240"/>
      <c r="H579" s="197"/>
      <c r="I579" s="198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>
      <c r="A580" s="239"/>
      <c r="B580" s="240"/>
      <c r="C580" s="240"/>
      <c r="D580" s="240"/>
      <c r="E580" s="240"/>
      <c r="F580" s="240"/>
      <c r="G580" s="240"/>
      <c r="H580" s="197"/>
      <c r="I580" s="198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>
      <c r="A581" s="239"/>
      <c r="B581" s="240"/>
      <c r="C581" s="240"/>
      <c r="D581" s="240"/>
      <c r="E581" s="240"/>
      <c r="F581" s="240"/>
      <c r="G581" s="240"/>
      <c r="H581" s="197"/>
      <c r="I581" s="198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>
      <c r="A582" s="239"/>
      <c r="B582" s="240"/>
      <c r="C582" s="240"/>
      <c r="D582" s="240"/>
      <c r="E582" s="240"/>
      <c r="F582" s="240"/>
      <c r="G582" s="240"/>
      <c r="H582" s="197"/>
      <c r="I582" s="198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>
      <c r="A583" s="239"/>
      <c r="B583" s="240"/>
      <c r="C583" s="240"/>
      <c r="D583" s="240"/>
      <c r="E583" s="240"/>
      <c r="F583" s="240"/>
      <c r="G583" s="240"/>
      <c r="H583" s="197"/>
      <c r="I583" s="198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>
      <c r="A584" s="239"/>
      <c r="B584" s="240"/>
      <c r="C584" s="240"/>
      <c r="D584" s="240"/>
      <c r="E584" s="240"/>
      <c r="F584" s="240"/>
      <c r="G584" s="240"/>
      <c r="H584" s="197"/>
      <c r="I584" s="198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>
      <c r="A585" s="239"/>
      <c r="B585" s="240"/>
      <c r="C585" s="240"/>
      <c r="D585" s="240"/>
      <c r="E585" s="240"/>
      <c r="F585" s="240"/>
      <c r="G585" s="240"/>
      <c r="H585" s="197"/>
      <c r="I585" s="198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>
      <c r="A586" s="239"/>
      <c r="B586" s="240"/>
      <c r="C586" s="240"/>
      <c r="D586" s="240"/>
      <c r="E586" s="240"/>
      <c r="F586" s="240"/>
      <c r="G586" s="240"/>
      <c r="H586" s="197"/>
      <c r="I586" s="198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>
      <c r="A587" s="239"/>
      <c r="B587" s="240"/>
      <c r="C587" s="240"/>
      <c r="D587" s="240"/>
      <c r="E587" s="240"/>
      <c r="F587" s="240"/>
      <c r="G587" s="240"/>
      <c r="H587" s="197"/>
      <c r="I587" s="198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>
      <c r="A588" s="239"/>
      <c r="B588" s="240"/>
      <c r="C588" s="240"/>
      <c r="D588" s="240"/>
      <c r="E588" s="240"/>
      <c r="F588" s="240"/>
      <c r="G588" s="240"/>
      <c r="H588" s="197"/>
      <c r="I588" s="198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>
      <c r="A589" s="239"/>
      <c r="B589" s="240"/>
      <c r="C589" s="240"/>
      <c r="D589" s="240"/>
      <c r="E589" s="240"/>
      <c r="F589" s="240"/>
      <c r="G589" s="240"/>
      <c r="H589" s="197"/>
      <c r="I589" s="198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>
      <c r="A590" s="239"/>
      <c r="B590" s="240"/>
      <c r="C590" s="240"/>
      <c r="D590" s="240"/>
      <c r="E590" s="240"/>
      <c r="F590" s="240"/>
      <c r="G590" s="240"/>
      <c r="H590" s="197"/>
      <c r="I590" s="198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>
      <c r="A591" s="239"/>
      <c r="B591" s="240"/>
      <c r="C591" s="240"/>
      <c r="D591" s="240"/>
      <c r="E591" s="240"/>
      <c r="F591" s="240"/>
      <c r="G591" s="240"/>
      <c r="H591" s="197"/>
      <c r="I591" s="198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>
      <c r="A592" s="239"/>
      <c r="B592" s="240"/>
      <c r="C592" s="240"/>
      <c r="D592" s="240"/>
      <c r="E592" s="240"/>
      <c r="F592" s="240"/>
      <c r="G592" s="240"/>
      <c r="H592" s="197"/>
      <c r="I592" s="198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>
      <c r="A593" s="239"/>
      <c r="B593" s="240"/>
      <c r="C593" s="240"/>
      <c r="D593" s="240"/>
      <c r="E593" s="240"/>
      <c r="F593" s="240"/>
      <c r="G593" s="240"/>
      <c r="H593" s="197"/>
      <c r="I593" s="198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>
      <c r="A594" s="239"/>
      <c r="B594" s="240"/>
      <c r="C594" s="240"/>
      <c r="D594" s="240"/>
      <c r="E594" s="240"/>
      <c r="F594" s="240"/>
      <c r="G594" s="240"/>
      <c r="H594" s="197"/>
      <c r="I594" s="198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>
      <c r="A595" s="239"/>
      <c r="B595" s="240"/>
      <c r="C595" s="240"/>
      <c r="D595" s="240"/>
      <c r="E595" s="240"/>
      <c r="F595" s="240"/>
      <c r="G595" s="240"/>
      <c r="H595" s="197"/>
      <c r="I595" s="198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>
      <c r="A596" s="239"/>
      <c r="B596" s="240"/>
      <c r="C596" s="240"/>
      <c r="D596" s="240"/>
      <c r="E596" s="240"/>
      <c r="F596" s="240"/>
      <c r="G596" s="240"/>
      <c r="H596" s="197"/>
      <c r="I596" s="198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>
      <c r="A597" s="239"/>
      <c r="B597" s="240"/>
      <c r="C597" s="240"/>
      <c r="D597" s="240"/>
      <c r="E597" s="240"/>
      <c r="F597" s="240"/>
      <c r="G597" s="240"/>
      <c r="H597" s="197"/>
      <c r="I597" s="198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>
      <c r="A598" s="239"/>
      <c r="B598" s="240"/>
      <c r="C598" s="240"/>
      <c r="D598" s="240"/>
      <c r="E598" s="240"/>
      <c r="F598" s="240"/>
      <c r="G598" s="240"/>
      <c r="H598" s="197"/>
      <c r="I598" s="198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>
      <c r="A599" s="239"/>
      <c r="B599" s="240"/>
      <c r="C599" s="240"/>
      <c r="D599" s="240"/>
      <c r="E599" s="240"/>
      <c r="F599" s="240"/>
      <c r="G599" s="240"/>
      <c r="H599" s="197"/>
      <c r="I599" s="198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>
      <c r="A600" s="239"/>
      <c r="B600" s="240"/>
      <c r="C600" s="240"/>
      <c r="D600" s="240"/>
      <c r="E600" s="240"/>
      <c r="F600" s="240"/>
      <c r="G600" s="240"/>
      <c r="H600" s="197"/>
      <c r="I600" s="198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>
      <c r="A601" s="239"/>
      <c r="B601" s="240"/>
      <c r="C601" s="240"/>
      <c r="D601" s="240"/>
      <c r="E601" s="240"/>
      <c r="F601" s="240"/>
      <c r="G601" s="240"/>
      <c r="H601" s="197"/>
      <c r="I601" s="198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>
      <c r="A602" s="239"/>
      <c r="B602" s="240"/>
      <c r="C602" s="240"/>
      <c r="D602" s="240"/>
      <c r="E602" s="240"/>
      <c r="F602" s="240"/>
      <c r="G602" s="240"/>
      <c r="H602" s="197"/>
      <c r="I602" s="198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>
      <c r="A603" s="239"/>
      <c r="B603" s="240"/>
      <c r="C603" s="240"/>
      <c r="D603" s="240"/>
      <c r="E603" s="240"/>
      <c r="F603" s="240"/>
      <c r="G603" s="240"/>
      <c r="H603" s="197"/>
      <c r="I603" s="198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>
      <c r="A604" s="239"/>
      <c r="B604" s="240"/>
      <c r="C604" s="240"/>
      <c r="D604" s="240"/>
      <c r="E604" s="240"/>
      <c r="F604" s="240"/>
      <c r="G604" s="240"/>
      <c r="H604" s="197"/>
      <c r="I604" s="198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>
      <c r="A605" s="239"/>
      <c r="B605" s="240"/>
      <c r="C605" s="240"/>
      <c r="D605" s="240"/>
      <c r="E605" s="240"/>
      <c r="F605" s="240"/>
      <c r="G605" s="240"/>
      <c r="H605" s="197"/>
      <c r="I605" s="198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>
      <c r="A606" s="239"/>
      <c r="B606" s="240"/>
      <c r="C606" s="240"/>
      <c r="D606" s="240"/>
      <c r="E606" s="240"/>
      <c r="F606" s="240"/>
      <c r="G606" s="240"/>
      <c r="H606" s="197"/>
      <c r="I606" s="198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>
      <c r="A607" s="239"/>
      <c r="B607" s="240"/>
      <c r="C607" s="240"/>
      <c r="D607" s="240"/>
      <c r="E607" s="240"/>
      <c r="F607" s="240"/>
      <c r="G607" s="240"/>
      <c r="H607" s="197"/>
      <c r="I607" s="198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>
      <c r="A608" s="239"/>
      <c r="B608" s="240"/>
      <c r="C608" s="240"/>
      <c r="D608" s="240"/>
      <c r="E608" s="240"/>
      <c r="F608" s="240"/>
      <c r="G608" s="240"/>
      <c r="H608" s="197"/>
      <c r="I608" s="198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>
      <c r="A609" s="239"/>
      <c r="B609" s="240"/>
      <c r="C609" s="240"/>
      <c r="D609" s="240"/>
      <c r="E609" s="240"/>
      <c r="F609" s="240"/>
      <c r="G609" s="240"/>
      <c r="H609" s="197"/>
      <c r="I609" s="198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>
      <c r="A610" s="239"/>
      <c r="B610" s="240"/>
      <c r="C610" s="240"/>
      <c r="D610" s="240"/>
      <c r="E610" s="240"/>
      <c r="F610" s="240"/>
      <c r="G610" s="240"/>
      <c r="H610" s="197"/>
      <c r="I610" s="198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>
      <c r="A611" s="239"/>
      <c r="B611" s="240"/>
      <c r="C611" s="240"/>
      <c r="D611" s="240"/>
      <c r="E611" s="240"/>
      <c r="F611" s="240"/>
      <c r="G611" s="240"/>
      <c r="H611" s="197"/>
      <c r="I611" s="198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>
      <c r="A612" s="239"/>
      <c r="B612" s="240"/>
      <c r="C612" s="240"/>
      <c r="D612" s="240"/>
      <c r="E612" s="240"/>
      <c r="F612" s="240"/>
      <c r="G612" s="240"/>
      <c r="H612" s="197"/>
      <c r="I612" s="198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>
      <c r="A613" s="239"/>
      <c r="B613" s="240"/>
      <c r="C613" s="240"/>
      <c r="D613" s="240"/>
      <c r="E613" s="240"/>
      <c r="F613" s="240"/>
      <c r="G613" s="240"/>
      <c r="H613" s="197"/>
      <c r="I613" s="198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>
      <c r="A614" s="239"/>
      <c r="B614" s="240"/>
      <c r="C614" s="240"/>
      <c r="D614" s="240"/>
      <c r="E614" s="240"/>
      <c r="F614" s="240"/>
      <c r="G614" s="240"/>
      <c r="H614" s="197"/>
      <c r="I614" s="198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